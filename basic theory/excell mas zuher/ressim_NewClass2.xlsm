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A3833FC-B3FA-45D2-80A3-721AA1A948F9}" xr6:coauthVersionLast="47" xr6:coauthVersionMax="47" xr10:uidLastSave="{00000000-0000-0000-0000-000000000000}"/>
  <bookViews>
    <workbookView xWindow="-108" yWindow="-108" windowWidth="24792" windowHeight="13320" firstSheet="2" activeTab="4" xr2:uid="{F164F52E-8D73-4DE4-BB5E-479A0EE95AFE}"/>
  </bookViews>
  <sheets>
    <sheet name="PVT" sheetId="2" r:id="rId1"/>
    <sheet name="ROCK" sheetId="3" r:id="rId2"/>
    <sheet name="REF" sheetId="4" r:id="rId3"/>
    <sheet name="INIT" sheetId="5" r:id="rId4"/>
    <sheet name="RESULT GRID PRESSURE" sheetId="6" r:id="rId5"/>
    <sheet name="RESULT GRID SO" sheetId="11" r:id="rId6"/>
    <sheet name="RESULT GRID SW" sheetId="9" r:id="rId7"/>
    <sheet name="RESULT GRID SG" sheetId="10" r:id="rId8"/>
    <sheet name="RESULT WELL" sheetId="7" r:id="rId9"/>
    <sheet name="ORET" sheetId="8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27" i="8" l="1"/>
  <c r="BL26" i="8"/>
  <c r="BL25" i="8"/>
  <c r="BL24" i="8"/>
  <c r="BL23" i="8"/>
  <c r="BL22" i="8"/>
  <c r="BL21" i="8"/>
  <c r="BL20" i="8"/>
  <c r="BL19" i="8"/>
  <c r="BL18" i="8"/>
  <c r="BL17" i="8"/>
  <c r="BL16" i="8"/>
  <c r="BL15" i="8"/>
  <c r="BL14" i="8"/>
  <c r="BL13" i="8"/>
  <c r="BL12" i="8"/>
  <c r="BL11" i="8"/>
  <c r="BL10" i="8"/>
  <c r="BL9" i="8"/>
  <c r="BL8" i="8"/>
  <c r="BL7" i="8"/>
  <c r="BL6" i="8"/>
  <c r="BL5" i="8"/>
  <c r="BL4" i="8"/>
  <c r="BL3" i="8"/>
  <c r="BL2" i="8"/>
  <c r="BL1" i="8"/>
  <c r="BL1" i="8" a="1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J1" i="8" a="1"/>
  <c r="B7" i="5"/>
  <c r="B5" i="5"/>
  <c r="B3" i="5"/>
</calcChain>
</file>

<file path=xl/sharedStrings.xml><?xml version="1.0" encoding="utf-8"?>
<sst xmlns="http://schemas.openxmlformats.org/spreadsheetml/2006/main" count="60" uniqueCount="41">
  <si>
    <t>Pb</t>
  </si>
  <si>
    <t>p</t>
  </si>
  <si>
    <t>Bo</t>
  </si>
  <si>
    <t>Bg</t>
  </si>
  <si>
    <t>Bw</t>
  </si>
  <si>
    <t>mo</t>
  </si>
  <si>
    <t>Rso</t>
  </si>
  <si>
    <t>mw</t>
  </si>
  <si>
    <t>Rsw</t>
  </si>
  <si>
    <t>mg</t>
  </si>
  <si>
    <t>ZREF</t>
  </si>
  <si>
    <t>PREF</t>
  </si>
  <si>
    <t>DENOIL</t>
  </si>
  <si>
    <t>DENWAT</t>
  </si>
  <si>
    <t>DENGAS</t>
  </si>
  <si>
    <t>CROCK</t>
  </si>
  <si>
    <t>Sw</t>
  </si>
  <si>
    <t>KROW</t>
  </si>
  <si>
    <t>KRW</t>
  </si>
  <si>
    <t>PCOW</t>
  </si>
  <si>
    <t>GAS-WATER</t>
  </si>
  <si>
    <t>OIL-WATER</t>
  </si>
  <si>
    <t>PCOG</t>
  </si>
  <si>
    <t>KROG</t>
  </si>
  <si>
    <t>SG</t>
  </si>
  <si>
    <t>SW</t>
  </si>
  <si>
    <t>SO</t>
  </si>
  <si>
    <t>SWMAX</t>
  </si>
  <si>
    <t>SGMAX</t>
  </si>
  <si>
    <t>KRG</t>
  </si>
  <si>
    <t>PINIT</t>
  </si>
  <si>
    <t>PB</t>
  </si>
  <si>
    <t>COREF</t>
  </si>
  <si>
    <t>CWREF</t>
  </si>
  <si>
    <t>CGREF</t>
  </si>
  <si>
    <t>Time = 0</t>
  </si>
  <si>
    <t>Time = 10</t>
  </si>
  <si>
    <t>Time = 2</t>
  </si>
  <si>
    <t>Time = 4</t>
  </si>
  <si>
    <t>Time = 6</t>
  </si>
  <si>
    <t>Time =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</si>
</sst>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000000000000E+0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11" fontId="0" fillId="0" borderId="0" xfId="0" applyNumberFormat="1"/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2" borderId="1" xfId="0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2" xfId="0" applyFont="1" applyBorder="1"/>
    <xf numFmtId="0" fontId="2" fillId="0" borderId="3" xfId="0" applyFont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2" fillId="6" borderId="2" xfId="0" applyFont="1" applyFill="1" applyBorder="1"/>
    <xf numFmtId="0" fontId="2" fillId="6" borderId="3" xfId="0" applyFont="1" applyFill="1" applyBorder="1"/>
    <xf numFmtId="0" fontId="3" fillId="0" borderId="0" xfId="0" applyFont="1"/>
    <xf numFmtId="164" fontId="0" fillId="0" borderId="0" xfId="1" applyNumberFormat="1" applyFont="1"/>
    <xf numFmtId="0" fontId="2" fillId="7" borderId="0" xfId="0" applyFont="1" applyFill="1"/>
    <xf numFmtId="0" fontId="2" fillId="7" borderId="2" xfId="0" applyFont="1" applyFill="1" applyBorder="1"/>
    <xf numFmtId="0" fontId="2" fillId="7" borderId="1" xfId="0" applyFont="1" applyFill="1" applyBorder="1"/>
    <xf numFmtId="0" fontId="2" fillId="7" borderId="3" xfId="0" applyFont="1" applyFill="1" applyBorder="1"/>
    <xf numFmtId="0" fontId="2" fillId="8" borderId="0" xfId="0" applyFont="1" applyFill="1"/>
    <xf numFmtId="0" fontId="2" fillId="8" borderId="2" xfId="0" applyFont="1" applyFill="1" applyBorder="1"/>
    <xf numFmtId="0" fontId="2" fillId="8" borderId="1" xfId="0" applyFont="1" applyFill="1" applyBorder="1"/>
    <xf numFmtId="0" fontId="2" fillId="8" borderId="3" xfId="0" applyFont="1" applyFill="1" applyBorder="1"/>
    <xf numFmtId="0" fontId="2" fillId="9" borderId="0" xfId="0" applyFont="1" applyFill="1"/>
    <xf numFmtId="0" fontId="2" fillId="9" borderId="2" xfId="0" applyFont="1" applyFill="1" applyBorder="1"/>
    <xf numFmtId="0" fontId="2" fillId="9" borderId="1" xfId="0" applyFont="1" applyFill="1" applyBorder="1"/>
    <xf numFmtId="0" fontId="2" fillId="9" borderId="3" xfId="0" applyFont="1" applyFill="1" applyBorder="1"/>
    <xf numFmtId="0" fontId="2" fillId="10" borderId="0" xfId="0" applyFont="1" applyFill="1"/>
    <xf numFmtId="0" fontId="2" fillId="10" borderId="2" xfId="0" applyFont="1" applyFill="1" applyBorder="1"/>
    <xf numFmtId="0" fontId="2" fillId="10" borderId="1" xfId="0" applyFont="1" applyFill="1" applyBorder="1"/>
    <xf numFmtId="0" fontId="2" fillId="10" borderId="3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071428571428571E-2"/>
          <c:y val="2.0502977294042769E-4"/>
          <c:w val="0.92622222222222217"/>
          <c:h val="0.97378745246871845"/>
        </c:manualLayout>
      </c:layout>
      <c:surface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'RESULT GRID PRESSURE'!$A$9:$E$9</c:f>
              <c:numCache>
                <c:formatCode>General</c:formatCode>
                <c:ptCount val="5"/>
                <c:pt idx="0">
                  <c:v>4822.1111857966462</c:v>
                </c:pt>
                <c:pt idx="1">
                  <c:v>4822.1111883697085</c:v>
                </c:pt>
                <c:pt idx="2">
                  <c:v>4822.1111909413021</c:v>
                </c:pt>
                <c:pt idx="3">
                  <c:v>4822.1111883697085</c:v>
                </c:pt>
                <c:pt idx="4">
                  <c:v>4822.1111857966462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2-45E1-9A92-C4C373805DD3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'RESULT GRID PRESSURE'!$A$10:$E$10</c:f>
              <c:numCache>
                <c:formatCode>General</c:formatCode>
                <c:ptCount val="5"/>
                <c:pt idx="0">
                  <c:v>4822.1111883697085</c:v>
                </c:pt>
                <c:pt idx="1">
                  <c:v>4822.1111935124045</c:v>
                </c:pt>
                <c:pt idx="2">
                  <c:v>4822.1112012208177</c:v>
                </c:pt>
                <c:pt idx="3">
                  <c:v>4822.1111935124045</c:v>
                </c:pt>
                <c:pt idx="4">
                  <c:v>4822.1111883697085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2-45E1-9A92-C4C373805DD3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'RESULT GRID PRESSURE'!$A$11:$E$11</c:f>
              <c:numCache>
                <c:formatCode>General</c:formatCode>
                <c:ptCount val="5"/>
                <c:pt idx="0">
                  <c:v>4822.1111909413021</c:v>
                </c:pt>
                <c:pt idx="1">
                  <c:v>4822.1112012208177</c:v>
                </c:pt>
                <c:pt idx="2">
                  <c:v>4822.1112320339216</c:v>
                </c:pt>
                <c:pt idx="3">
                  <c:v>4822.1112012208177</c:v>
                </c:pt>
                <c:pt idx="4">
                  <c:v>4822.1111909413021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2-45E1-9A92-C4C373805DD3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'RESULT GRID PRESSURE'!$A$12:$E$12</c:f>
              <c:numCache>
                <c:formatCode>General</c:formatCode>
                <c:ptCount val="5"/>
                <c:pt idx="0">
                  <c:v>4822.1111883697085</c:v>
                </c:pt>
                <c:pt idx="1">
                  <c:v>4822.1111935124045</c:v>
                </c:pt>
                <c:pt idx="2">
                  <c:v>4822.1112012208177</c:v>
                </c:pt>
                <c:pt idx="3">
                  <c:v>4822.1111935124045</c:v>
                </c:pt>
                <c:pt idx="4">
                  <c:v>4822.1111883697085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22-45E1-9A92-C4C373805DD3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'RESULT GRID PRESSURE'!$A$13:$E$13</c:f>
              <c:numCache>
                <c:formatCode>General</c:formatCode>
                <c:ptCount val="5"/>
                <c:pt idx="0">
                  <c:v>4822.1111857966462</c:v>
                </c:pt>
                <c:pt idx="1">
                  <c:v>4822.1111883697085</c:v>
                </c:pt>
                <c:pt idx="2">
                  <c:v>4822.1111909413021</c:v>
                </c:pt>
                <c:pt idx="3">
                  <c:v>4822.1111883697085</c:v>
                </c:pt>
                <c:pt idx="4">
                  <c:v>4822.1111857966462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22-45E1-9A92-C4C373805DD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06768735"/>
        <c:axId val="1706774495"/>
        <c:axId val="1548084127"/>
      </c:surfaceChart>
      <c:catAx>
        <c:axId val="1706768735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  <c:auto val="1"/>
        <c:lblAlgn val="ctr"/>
        <c:lblOffset val="100"/>
        <c:noMultiLvlLbl val="0"/>
      </c:catAx>
      <c:valAx>
        <c:axId val="170677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768735"/>
        <c:crosses val="autoZero"/>
        <c:crossBetween val="midCat"/>
      </c:valAx>
      <c:serAx>
        <c:axId val="1548084127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071428571428571E-2"/>
          <c:y val="2.0502977294042769E-4"/>
          <c:w val="0.92622222222222217"/>
          <c:h val="0.97378745246871845"/>
        </c:manualLayout>
      </c:layout>
      <c:surfaceChart>
        <c:wireframe val="0"/>
        <c:ser>
          <c:idx val="0"/>
          <c:order val="0"/>
          <c:val>
            <c:numRef>
              <c:f>'RESULT GRID PRESSURE'!$A$2:$E$2</c:f>
              <c:numCache>
                <c:formatCode>General</c:formatCode>
                <c:ptCount val="5"/>
                <c:pt idx="0">
                  <c:v>4822.1138888888891</c:v>
                </c:pt>
                <c:pt idx="1">
                  <c:v>4822.1138888888891</c:v>
                </c:pt>
                <c:pt idx="2">
                  <c:v>4822.1138888888891</c:v>
                </c:pt>
                <c:pt idx="3">
                  <c:v>4822.1138888888891</c:v>
                </c:pt>
                <c:pt idx="4">
                  <c:v>4822.1138888888891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2-45E1-9A92-C4C373805DD3}"/>
            </c:ext>
          </c:extLst>
        </c:ser>
        <c:ser>
          <c:idx val="1"/>
          <c:order val="1"/>
          <c:val>
            <c:numRef>
              <c:f>'RESULT GRID PRESSURE'!$A$3:$E$3</c:f>
              <c:numCache>
                <c:formatCode>General</c:formatCode>
                <c:ptCount val="5"/>
                <c:pt idx="0">
                  <c:v>4822.1138888888891</c:v>
                </c:pt>
                <c:pt idx="1">
                  <c:v>4822.1138888888891</c:v>
                </c:pt>
                <c:pt idx="2">
                  <c:v>4822.1138888888891</c:v>
                </c:pt>
                <c:pt idx="3">
                  <c:v>4822.1138888888891</c:v>
                </c:pt>
                <c:pt idx="4">
                  <c:v>4822.1138888888891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2-45E1-9A92-C4C373805DD3}"/>
            </c:ext>
          </c:extLst>
        </c:ser>
        <c:ser>
          <c:idx val="2"/>
          <c:order val="2"/>
          <c:val>
            <c:numRef>
              <c:f>'RESULT GRID PRESSURE'!$A$4:$E$4</c:f>
              <c:numCache>
                <c:formatCode>General</c:formatCode>
                <c:ptCount val="5"/>
                <c:pt idx="0">
                  <c:v>4822.1138888888891</c:v>
                </c:pt>
                <c:pt idx="1">
                  <c:v>4822.1138888888891</c:v>
                </c:pt>
                <c:pt idx="2">
                  <c:v>4822.1138888888891</c:v>
                </c:pt>
                <c:pt idx="3">
                  <c:v>4822.1138888888891</c:v>
                </c:pt>
                <c:pt idx="4">
                  <c:v>4822.1138888888891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2-45E1-9A92-C4C373805DD3}"/>
            </c:ext>
          </c:extLst>
        </c:ser>
        <c:ser>
          <c:idx val="3"/>
          <c:order val="3"/>
          <c:val>
            <c:numRef>
              <c:f>'RESULT GRID PRESSURE'!$A$5:$E$5</c:f>
              <c:numCache>
                <c:formatCode>General</c:formatCode>
                <c:ptCount val="5"/>
                <c:pt idx="0">
                  <c:v>4822.1138888888891</c:v>
                </c:pt>
                <c:pt idx="1">
                  <c:v>4822.1138888888891</c:v>
                </c:pt>
                <c:pt idx="2">
                  <c:v>4822.1138888888891</c:v>
                </c:pt>
                <c:pt idx="3">
                  <c:v>4822.1138888888891</c:v>
                </c:pt>
                <c:pt idx="4">
                  <c:v>4822.1138888888891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22-45E1-9A92-C4C373805DD3}"/>
            </c:ext>
          </c:extLst>
        </c:ser>
        <c:ser>
          <c:idx val="4"/>
          <c:order val="4"/>
          <c:val>
            <c:numRef>
              <c:f>'RESULT GRID PRESSURE'!$A$6:$E$6</c:f>
              <c:numCache>
                <c:formatCode>General</c:formatCode>
                <c:ptCount val="5"/>
                <c:pt idx="0">
                  <c:v>4822.1138888888891</c:v>
                </c:pt>
                <c:pt idx="1">
                  <c:v>4822.1138888888891</c:v>
                </c:pt>
                <c:pt idx="2">
                  <c:v>4822.1138888888891</c:v>
                </c:pt>
                <c:pt idx="3">
                  <c:v>4822.1138888888891</c:v>
                </c:pt>
                <c:pt idx="4">
                  <c:v>4822.1138888888891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22-45E1-9A92-C4C373805DD3}"/>
            </c:ext>
          </c:extLst>
        </c:ser>
        <c:bandFmts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06768735"/>
        <c:axId val="1706774495"/>
        <c:axId val="1548084127"/>
      </c:surfaceChart>
      <c:catAx>
        <c:axId val="1706768735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  <c:auto val="1"/>
        <c:lblAlgn val="ctr"/>
        <c:lblOffset val="100"/>
        <c:noMultiLvlLbl val="0"/>
      </c:catAx>
      <c:valAx>
        <c:axId val="170677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768735"/>
        <c:crosses val="autoZero"/>
        <c:crossBetween val="midCat"/>
      </c:valAx>
      <c:serAx>
        <c:axId val="1548084127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071428571428571E-2"/>
          <c:y val="2.0502977294042769E-4"/>
          <c:w val="0.92622222222222217"/>
          <c:h val="0.97378745246871845"/>
        </c:manualLayout>
      </c:layout>
      <c:surfaceChart>
        <c:wireframe val="0"/>
        <c:ser>
          <c:idx val="0"/>
          <c:order val="0"/>
          <c:val>
            <c:numRef>
              <c:f>'RESULT GRID PRESSURE'!$A$16:$E$16</c:f>
              <c:numCache>
                <c:formatCode>General</c:formatCode>
                <c:ptCount val="5"/>
                <c:pt idx="0">
                  <c:v>4822.1112247673746</c:v>
                </c:pt>
                <c:pt idx="1">
                  <c:v>4822.1112247605906</c:v>
                </c:pt>
                <c:pt idx="2">
                  <c:v>4822.1112247552628</c:v>
                </c:pt>
                <c:pt idx="3">
                  <c:v>4822.1112247605906</c:v>
                </c:pt>
                <c:pt idx="4">
                  <c:v>4822.1112247673746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2-45E1-9A92-C4C373805DD3}"/>
            </c:ext>
          </c:extLst>
        </c:ser>
        <c:ser>
          <c:idx val="1"/>
          <c:order val="1"/>
          <c:val>
            <c:numRef>
              <c:f>'RESULT GRID PRESSURE'!$A$17:$E$17</c:f>
              <c:numCache>
                <c:formatCode>General</c:formatCode>
                <c:ptCount val="5"/>
                <c:pt idx="0">
                  <c:v>4822.1112247605906</c:v>
                </c:pt>
                <c:pt idx="1">
                  <c:v>4822.1112247504207</c:v>
                </c:pt>
                <c:pt idx="2">
                  <c:v>4822.1112247407418</c:v>
                </c:pt>
                <c:pt idx="3">
                  <c:v>4822.1112247504207</c:v>
                </c:pt>
                <c:pt idx="4">
                  <c:v>4822.1112247605906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2-45E1-9A92-C4C373805DD3}"/>
            </c:ext>
          </c:extLst>
        </c:ser>
        <c:ser>
          <c:idx val="2"/>
          <c:order val="2"/>
          <c:val>
            <c:numRef>
              <c:f>'RESULT GRID PRESSURE'!$A$18:$E$18</c:f>
              <c:numCache>
                <c:formatCode>General</c:formatCode>
                <c:ptCount val="5"/>
                <c:pt idx="0">
                  <c:v>4822.1112247552628</c:v>
                </c:pt>
                <c:pt idx="1">
                  <c:v>4822.1112247407418</c:v>
                </c:pt>
                <c:pt idx="2">
                  <c:v>4822.1112247223655</c:v>
                </c:pt>
                <c:pt idx="3">
                  <c:v>4822.1112247407418</c:v>
                </c:pt>
                <c:pt idx="4">
                  <c:v>4822.1112247552628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2-45E1-9A92-C4C373805DD3}"/>
            </c:ext>
          </c:extLst>
        </c:ser>
        <c:ser>
          <c:idx val="3"/>
          <c:order val="3"/>
          <c:val>
            <c:numRef>
              <c:f>'RESULT GRID PRESSURE'!$A$19:$E$19</c:f>
              <c:numCache>
                <c:formatCode>General</c:formatCode>
                <c:ptCount val="5"/>
                <c:pt idx="0">
                  <c:v>4822.1112247605906</c:v>
                </c:pt>
                <c:pt idx="1">
                  <c:v>4822.1112247504207</c:v>
                </c:pt>
                <c:pt idx="2">
                  <c:v>4822.1112247407418</c:v>
                </c:pt>
                <c:pt idx="3">
                  <c:v>4822.1112247504207</c:v>
                </c:pt>
                <c:pt idx="4">
                  <c:v>4822.1112247605906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22-45E1-9A92-C4C373805DD3}"/>
            </c:ext>
          </c:extLst>
        </c:ser>
        <c:ser>
          <c:idx val="4"/>
          <c:order val="4"/>
          <c:val>
            <c:numRef>
              <c:f>'RESULT GRID PRESSURE'!$A$20:$E$20</c:f>
              <c:numCache>
                <c:formatCode>General</c:formatCode>
                <c:ptCount val="5"/>
                <c:pt idx="0">
                  <c:v>4822.1112247673746</c:v>
                </c:pt>
                <c:pt idx="1">
                  <c:v>4822.1112247605906</c:v>
                </c:pt>
                <c:pt idx="2">
                  <c:v>4822.1112247552628</c:v>
                </c:pt>
                <c:pt idx="3">
                  <c:v>4822.1112247605906</c:v>
                </c:pt>
                <c:pt idx="4">
                  <c:v>4822.1112247673746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22-45E1-9A92-C4C373805DD3}"/>
            </c:ext>
          </c:extLst>
        </c:ser>
        <c:bandFmts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06768735"/>
        <c:axId val="1706774495"/>
        <c:axId val="1548084127"/>
      </c:surfaceChart>
      <c:catAx>
        <c:axId val="1706768735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  <c:auto val="1"/>
        <c:lblAlgn val="ctr"/>
        <c:lblOffset val="100"/>
        <c:noMultiLvlLbl val="0"/>
      </c:catAx>
      <c:valAx>
        <c:axId val="170677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768735"/>
        <c:crosses val="autoZero"/>
        <c:crossBetween val="midCat"/>
      </c:valAx>
      <c:serAx>
        <c:axId val="1548084127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071428571428571E-2"/>
          <c:y val="2.0502977294042769E-4"/>
          <c:w val="0.92622222222222217"/>
          <c:h val="0.97378745246871845"/>
        </c:manualLayout>
      </c:layout>
      <c:surfaceChart>
        <c:wireframe val="0"/>
        <c:ser>
          <c:idx val="0"/>
          <c:order val="0"/>
          <c:val>
            <c:numRef>
              <c:f>'RESULT GRID PRESSURE'!$A$23:$E$23</c:f>
              <c:numCache>
                <c:formatCode>General</c:formatCode>
                <c:ptCount val="5"/>
                <c:pt idx="0">
                  <c:v>4822.1112243804791</c:v>
                </c:pt>
                <c:pt idx="1">
                  <c:v>4822.1112243804109</c:v>
                </c:pt>
                <c:pt idx="2">
                  <c:v>4822.1112243803555</c:v>
                </c:pt>
                <c:pt idx="3">
                  <c:v>4822.1112243804109</c:v>
                </c:pt>
                <c:pt idx="4">
                  <c:v>4822.1112243804791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2-45E1-9A92-C4C373805DD3}"/>
            </c:ext>
          </c:extLst>
        </c:ser>
        <c:ser>
          <c:idx val="1"/>
          <c:order val="1"/>
          <c:val>
            <c:numRef>
              <c:f>'RESULT GRID PRESSURE'!$A$24:$E$24</c:f>
              <c:numCache>
                <c:formatCode>General</c:formatCode>
                <c:ptCount val="5"/>
                <c:pt idx="0">
                  <c:v>4822.1112243804109</c:v>
                </c:pt>
                <c:pt idx="1">
                  <c:v>4822.1112243803045</c:v>
                </c:pt>
                <c:pt idx="2">
                  <c:v>4822.1112243802008</c:v>
                </c:pt>
                <c:pt idx="3">
                  <c:v>4822.1112243803045</c:v>
                </c:pt>
                <c:pt idx="4">
                  <c:v>4822.1112243804109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2-45E1-9A92-C4C373805DD3}"/>
            </c:ext>
          </c:extLst>
        </c:ser>
        <c:ser>
          <c:idx val="2"/>
          <c:order val="2"/>
          <c:val>
            <c:numRef>
              <c:f>'RESULT GRID PRESSURE'!$A$25:$E$25</c:f>
              <c:numCache>
                <c:formatCode>General</c:formatCode>
                <c:ptCount val="5"/>
                <c:pt idx="0">
                  <c:v>4822.1112243803555</c:v>
                </c:pt>
                <c:pt idx="1">
                  <c:v>4822.1112243802008</c:v>
                </c:pt>
                <c:pt idx="2">
                  <c:v>4822.1112243799971</c:v>
                </c:pt>
                <c:pt idx="3">
                  <c:v>4822.1112243802008</c:v>
                </c:pt>
                <c:pt idx="4">
                  <c:v>4822.1112243803555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2-45E1-9A92-C4C373805DD3}"/>
            </c:ext>
          </c:extLst>
        </c:ser>
        <c:ser>
          <c:idx val="3"/>
          <c:order val="3"/>
          <c:val>
            <c:numRef>
              <c:f>'RESULT GRID PRESSURE'!$A$26:$E$26</c:f>
              <c:numCache>
                <c:formatCode>General</c:formatCode>
                <c:ptCount val="5"/>
                <c:pt idx="0">
                  <c:v>4822.1112243804109</c:v>
                </c:pt>
                <c:pt idx="1">
                  <c:v>4822.1112243803045</c:v>
                </c:pt>
                <c:pt idx="2">
                  <c:v>4822.1112243802008</c:v>
                </c:pt>
                <c:pt idx="3">
                  <c:v>4822.1112243803045</c:v>
                </c:pt>
                <c:pt idx="4">
                  <c:v>4822.1112243804109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22-45E1-9A92-C4C373805DD3}"/>
            </c:ext>
          </c:extLst>
        </c:ser>
        <c:ser>
          <c:idx val="4"/>
          <c:order val="4"/>
          <c:val>
            <c:numRef>
              <c:f>'RESULT GRID PRESSURE'!$A$27:$E$27</c:f>
              <c:numCache>
                <c:formatCode>General</c:formatCode>
                <c:ptCount val="5"/>
                <c:pt idx="0">
                  <c:v>4822.1112243804791</c:v>
                </c:pt>
                <c:pt idx="1">
                  <c:v>4822.1112243804109</c:v>
                </c:pt>
                <c:pt idx="2">
                  <c:v>4822.1112243803555</c:v>
                </c:pt>
                <c:pt idx="3">
                  <c:v>4822.1112243804109</c:v>
                </c:pt>
                <c:pt idx="4">
                  <c:v>4822.1112243804791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22-45E1-9A92-C4C373805DD3}"/>
            </c:ext>
          </c:extLst>
        </c:ser>
        <c:bandFmts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06768735"/>
        <c:axId val="1706774495"/>
        <c:axId val="1548084127"/>
      </c:surfaceChart>
      <c:catAx>
        <c:axId val="1706768735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  <c:auto val="1"/>
        <c:lblAlgn val="ctr"/>
        <c:lblOffset val="100"/>
        <c:noMultiLvlLbl val="0"/>
      </c:catAx>
      <c:valAx>
        <c:axId val="170677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768735"/>
        <c:crosses val="autoZero"/>
        <c:crossBetween val="midCat"/>
      </c:valAx>
      <c:serAx>
        <c:axId val="1548084127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071428571428571E-2"/>
          <c:y val="2.0502977294042769E-4"/>
          <c:w val="0.92622222222222217"/>
          <c:h val="0.97378745246871845"/>
        </c:manualLayout>
      </c:layout>
      <c:surfaceChart>
        <c:wireframe val="0"/>
        <c:ser>
          <c:idx val="0"/>
          <c:order val="0"/>
          <c:val>
            <c:numRef>
              <c:f>'RESULT GRID PRESSURE'!$A$30:$E$30</c:f>
              <c:numCache>
                <c:formatCode>General</c:formatCode>
                <c:ptCount val="5"/>
                <c:pt idx="0">
                  <c:v>4822.1112243847519</c:v>
                </c:pt>
                <c:pt idx="1">
                  <c:v>4822.1112243847519</c:v>
                </c:pt>
                <c:pt idx="2">
                  <c:v>4822.1112243847519</c:v>
                </c:pt>
                <c:pt idx="3">
                  <c:v>4822.1112243847519</c:v>
                </c:pt>
                <c:pt idx="4">
                  <c:v>4822.1112243847519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2-45E1-9A92-C4C373805DD3}"/>
            </c:ext>
          </c:extLst>
        </c:ser>
        <c:ser>
          <c:idx val="1"/>
          <c:order val="1"/>
          <c:val>
            <c:numRef>
              <c:f>'RESULT GRID PRESSURE'!$A$31:$E$31</c:f>
              <c:numCache>
                <c:formatCode>General</c:formatCode>
                <c:ptCount val="5"/>
                <c:pt idx="0">
                  <c:v>4822.1112243847519</c:v>
                </c:pt>
                <c:pt idx="1">
                  <c:v>4822.1112243847519</c:v>
                </c:pt>
                <c:pt idx="2">
                  <c:v>4822.1112243847529</c:v>
                </c:pt>
                <c:pt idx="3">
                  <c:v>4822.1112243847519</c:v>
                </c:pt>
                <c:pt idx="4">
                  <c:v>4822.1112243847519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22-45E1-9A92-C4C373805DD3}"/>
            </c:ext>
          </c:extLst>
        </c:ser>
        <c:ser>
          <c:idx val="2"/>
          <c:order val="2"/>
          <c:val>
            <c:numRef>
              <c:f>'RESULT GRID PRESSURE'!$A$32:$E$32</c:f>
              <c:numCache>
                <c:formatCode>General</c:formatCode>
                <c:ptCount val="5"/>
                <c:pt idx="0">
                  <c:v>4822.1112243847519</c:v>
                </c:pt>
                <c:pt idx="1">
                  <c:v>4822.1112243847529</c:v>
                </c:pt>
                <c:pt idx="2">
                  <c:v>4822.1112243847529</c:v>
                </c:pt>
                <c:pt idx="3">
                  <c:v>4822.1112243847529</c:v>
                </c:pt>
                <c:pt idx="4">
                  <c:v>4822.1112243847519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2-45E1-9A92-C4C373805DD3}"/>
            </c:ext>
          </c:extLst>
        </c:ser>
        <c:ser>
          <c:idx val="3"/>
          <c:order val="3"/>
          <c:val>
            <c:numRef>
              <c:f>'RESULT GRID PRESSURE'!$A$33:$E$33</c:f>
              <c:numCache>
                <c:formatCode>General</c:formatCode>
                <c:ptCount val="5"/>
                <c:pt idx="0">
                  <c:v>4822.1112243847519</c:v>
                </c:pt>
                <c:pt idx="1">
                  <c:v>4822.1112243847519</c:v>
                </c:pt>
                <c:pt idx="2">
                  <c:v>4822.1112243847529</c:v>
                </c:pt>
                <c:pt idx="3">
                  <c:v>4822.1112243847519</c:v>
                </c:pt>
                <c:pt idx="4">
                  <c:v>4822.1112243847519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22-45E1-9A92-C4C373805DD3}"/>
            </c:ext>
          </c:extLst>
        </c:ser>
        <c:ser>
          <c:idx val="4"/>
          <c:order val="4"/>
          <c:val>
            <c:numRef>
              <c:f>'RESULT GRID PRESSURE'!$A$34:$E$34</c:f>
              <c:numCache>
                <c:formatCode>General</c:formatCode>
                <c:ptCount val="5"/>
                <c:pt idx="0">
                  <c:v>4822.1112243847519</c:v>
                </c:pt>
                <c:pt idx="1">
                  <c:v>4822.1112243847519</c:v>
                </c:pt>
                <c:pt idx="2">
                  <c:v>4822.1112243847519</c:v>
                </c:pt>
                <c:pt idx="3">
                  <c:v>4822.1112243847519</c:v>
                </c:pt>
                <c:pt idx="4">
                  <c:v>4822.1112243847519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22-45E1-9A92-C4C373805DD3}"/>
            </c:ext>
          </c:extLst>
        </c:ser>
        <c:bandFmts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06768735"/>
        <c:axId val="1706774495"/>
        <c:axId val="1548084127"/>
      </c:surfaceChart>
      <c:catAx>
        <c:axId val="1706768735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  <c:auto val="1"/>
        <c:lblAlgn val="ctr"/>
        <c:lblOffset val="100"/>
        <c:noMultiLvlLbl val="0"/>
      </c:catAx>
      <c:valAx>
        <c:axId val="170677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768735"/>
        <c:crosses val="autoZero"/>
        <c:crossBetween val="midCat"/>
      </c:valAx>
      <c:serAx>
        <c:axId val="1548084127"/>
        <c:scaling>
          <c:orientation val="minMax"/>
        </c:scaling>
        <c:delete val="1"/>
        <c:axPos val="b"/>
        <c:majorTickMark val="out"/>
        <c:minorTickMark val="none"/>
        <c:tickLblPos val="nextTo"/>
        <c:crossAx val="170677449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213360</xdr:colOff>
      <xdr:row>7</xdr:row>
      <xdr:rowOff>22860</xdr:rowOff>
    </xdr:from>
    <xdr:to>
      <xdr:col>9</xdr:col>
      <xdr:colOff>335280</xdr:colOff>
      <xdr:row>14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C22079-1CDF-2A25-F512-45944E9C24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213360</xdr:colOff>
      <xdr:row>0</xdr:row>
      <xdr:rowOff>121920</xdr:rowOff>
    </xdr:from>
    <xdr:to>
      <xdr:col>9</xdr:col>
      <xdr:colOff>335280</xdr:colOff>
      <xdr:row>8</xdr:row>
      <xdr:rowOff>34290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A1E26AA-2F73-6F44-DE59-524262868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213360</xdr:colOff>
      <xdr:row>14</xdr:row>
      <xdr:rowOff>91440</xdr:rowOff>
    </xdr:from>
    <xdr:to>
      <xdr:col>9</xdr:col>
      <xdr:colOff>335280</xdr:colOff>
      <xdr:row>22</xdr:row>
      <xdr:rowOff>3810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6C0A2B7-30E9-4398-C96F-6FA922FC8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213360</xdr:colOff>
      <xdr:row>21</xdr:row>
      <xdr:rowOff>114300</xdr:rowOff>
    </xdr:from>
    <xdr:to>
      <xdr:col>9</xdr:col>
      <xdr:colOff>335280</xdr:colOff>
      <xdr:row>29</xdr:row>
      <xdr:rowOff>26670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5694272-3D80-BE27-C5BC-5EB2268890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205740</xdr:colOff>
      <xdr:row>28</xdr:row>
      <xdr:rowOff>175260</xdr:rowOff>
    </xdr:from>
    <xdr:to>
      <xdr:col>9</xdr:col>
      <xdr:colOff>327660</xdr:colOff>
      <xdr:row>36</xdr:row>
      <xdr:rowOff>87630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2B12563-9EA2-589B-079F-D72A56C07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541020</xdr:colOff>
          <xdr:row>1</xdr:row>
          <xdr:rowOff>129540</xdr:rowOff>
        </xdr:from>
        <xdr:to>
          <xdr:col>13</xdr:col>
          <xdr:colOff>236220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AB1A-B734-4147-9B0B-8D6397DD0228}">
  <sheetPr codeName="Sheet2"/>
  <dimension ref="A1:I12"/>
  <sheetViews>
    <sheetView workbookViewId="0">
      <selection activeCell="H4" sqref="H4"/>
    </sheetView>
  </sheetViews>
  <sheetFormatPr defaultRowHeight="14.4" x14ac:dyDescent="0.3"/>
  <sheetData>
    <row r="1" spans="1:9" x14ac:dyDescent="0.3">
      <c r="A1" t="s">
        <v>0</v>
      </c>
      <c r="B1">
        <v>2800</v>
      </c>
    </row>
    <row r="2" spans="1:9" x14ac:dyDescent="0.3">
      <c r="A2" t="s">
        <v>1</v>
      </c>
      <c r="B2" t="s">
        <v>2</v>
      </c>
      <c r="C2" t="s">
        <v>5</v>
      </c>
      <c r="D2" t="s">
        <v>6</v>
      </c>
      <c r="E2" t="s">
        <v>3</v>
      </c>
      <c r="F2" t="s">
        <v>9</v>
      </c>
      <c r="G2" t="s">
        <v>4</v>
      </c>
      <c r="H2" t="s">
        <v>7</v>
      </c>
      <c r="I2" t="s">
        <v>8</v>
      </c>
    </row>
    <row r="3" spans="1:9" x14ac:dyDescent="0.3">
      <c r="A3">
        <v>14.7</v>
      </c>
      <c r="B3">
        <v>1.0620000000000001</v>
      </c>
      <c r="C3">
        <v>1.04</v>
      </c>
      <c r="D3">
        <v>1</v>
      </c>
      <c r="E3">
        <v>0.93582949999999998</v>
      </c>
      <c r="F3">
        <v>8.0000000000000002E-3</v>
      </c>
      <c r="G3">
        <v>1.04473539</v>
      </c>
      <c r="H3">
        <v>0.31</v>
      </c>
      <c r="I3">
        <v>0</v>
      </c>
    </row>
    <row r="4" spans="1:9" x14ac:dyDescent="0.3">
      <c r="A4">
        <v>264.7</v>
      </c>
      <c r="B4">
        <v>1.1499999999999999</v>
      </c>
      <c r="C4">
        <v>0.97499999999999998</v>
      </c>
      <c r="D4">
        <v>90.5</v>
      </c>
      <c r="E4">
        <v>6.7902100000000007E-2</v>
      </c>
      <c r="F4">
        <v>9.5999999999999992E-3</v>
      </c>
      <c r="G4">
        <v>1.0439629050000001</v>
      </c>
      <c r="H4">
        <v>0.31</v>
      </c>
      <c r="I4">
        <v>0</v>
      </c>
    </row>
    <row r="5" spans="1:9" x14ac:dyDescent="0.3">
      <c r="A5">
        <v>514.70000000000005</v>
      </c>
      <c r="B5">
        <v>1.2070000000000001</v>
      </c>
      <c r="C5">
        <v>0.91</v>
      </c>
      <c r="D5">
        <v>180</v>
      </c>
      <c r="E5">
        <v>3.5228500000000003E-2</v>
      </c>
      <c r="F5">
        <v>1.12E-2</v>
      </c>
      <c r="G5">
        <v>1.04319042</v>
      </c>
      <c r="H5">
        <v>0.31</v>
      </c>
      <c r="I5">
        <v>0</v>
      </c>
    </row>
    <row r="6" spans="1:9" x14ac:dyDescent="0.3">
      <c r="A6">
        <v>1014.7</v>
      </c>
      <c r="B6">
        <v>1.2949999999999999</v>
      </c>
      <c r="C6">
        <v>0.83</v>
      </c>
      <c r="D6">
        <v>371</v>
      </c>
      <c r="E6">
        <v>1.7951100000000001E-2</v>
      </c>
      <c r="F6">
        <v>1.4E-2</v>
      </c>
      <c r="G6">
        <v>1.0416454500000001</v>
      </c>
      <c r="H6">
        <v>0.31</v>
      </c>
      <c r="I6">
        <v>0</v>
      </c>
    </row>
    <row r="7" spans="1:9" x14ac:dyDescent="0.3">
      <c r="A7">
        <v>2014.7</v>
      </c>
      <c r="B7">
        <v>1.4350000000000001</v>
      </c>
      <c r="C7">
        <v>0.69499999999999995</v>
      </c>
      <c r="D7">
        <v>636</v>
      </c>
      <c r="E7">
        <v>9.0626000000000005E-3</v>
      </c>
      <c r="F7">
        <v>1.89E-2</v>
      </c>
      <c r="G7">
        <v>1.0385555099999999</v>
      </c>
      <c r="H7">
        <v>0.31</v>
      </c>
      <c r="I7">
        <v>0</v>
      </c>
    </row>
    <row r="8" spans="1:9" x14ac:dyDescent="0.3">
      <c r="A8">
        <v>2514.6999999999998</v>
      </c>
      <c r="B8">
        <v>1.5</v>
      </c>
      <c r="C8">
        <v>0.64100000000000001</v>
      </c>
      <c r="D8">
        <v>775</v>
      </c>
      <c r="E8">
        <v>7.2658000000000002E-3</v>
      </c>
      <c r="F8">
        <v>2.0799999999999999E-2</v>
      </c>
      <c r="G8">
        <v>1.03701054</v>
      </c>
      <c r="H8">
        <v>0.31</v>
      </c>
      <c r="I8">
        <v>0</v>
      </c>
    </row>
    <row r="9" spans="1:9" x14ac:dyDescent="0.3">
      <c r="A9">
        <v>3014.7</v>
      </c>
      <c r="B9">
        <v>1.5649999999999999</v>
      </c>
      <c r="C9">
        <v>0.59399999999999997</v>
      </c>
      <c r="D9">
        <v>930</v>
      </c>
      <c r="E9">
        <v>6.0641999999999996E-3</v>
      </c>
      <c r="F9">
        <v>2.2800000000000001E-2</v>
      </c>
      <c r="G9">
        <v>1.0354655699999999</v>
      </c>
      <c r="H9">
        <v>0.31</v>
      </c>
      <c r="I9">
        <v>0</v>
      </c>
    </row>
    <row r="10" spans="1:9" x14ac:dyDescent="0.3">
      <c r="A10">
        <v>4014.7</v>
      </c>
      <c r="B10">
        <v>1.6950000000000001</v>
      </c>
      <c r="C10">
        <v>0.51</v>
      </c>
      <c r="D10">
        <v>1270</v>
      </c>
      <c r="E10">
        <v>4.5537599999999996E-3</v>
      </c>
      <c r="F10">
        <v>2.6800000000000001E-2</v>
      </c>
      <c r="G10">
        <v>1.03237563</v>
      </c>
      <c r="H10">
        <v>0.31</v>
      </c>
      <c r="I10">
        <v>0</v>
      </c>
    </row>
    <row r="11" spans="1:9" x14ac:dyDescent="0.3">
      <c r="A11">
        <v>5014.7</v>
      </c>
      <c r="B11">
        <v>1.827</v>
      </c>
      <c r="C11">
        <v>0.44900000000000001</v>
      </c>
      <c r="D11">
        <v>1600</v>
      </c>
      <c r="E11">
        <v>3.6440000000000001E-3</v>
      </c>
      <c r="F11">
        <v>3.2899999999999999E-2</v>
      </c>
      <c r="G11">
        <v>1.02928569</v>
      </c>
      <c r="H11">
        <v>0.31</v>
      </c>
      <c r="I11">
        <v>0</v>
      </c>
    </row>
    <row r="12" spans="1:9" x14ac:dyDescent="0.3">
      <c r="A12">
        <v>9014.7000000000007</v>
      </c>
      <c r="B12">
        <v>2.3530000000000002</v>
      </c>
      <c r="C12">
        <v>0.20300000000000001</v>
      </c>
      <c r="D12">
        <v>2984</v>
      </c>
      <c r="E12">
        <v>2.1673899999999999E-3</v>
      </c>
      <c r="F12">
        <v>4.7E-2</v>
      </c>
      <c r="G12">
        <v>1.01692593</v>
      </c>
      <c r="H12">
        <v>0.31</v>
      </c>
      <c r="I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00CA-9A28-47F1-BDF2-DCA209947474}">
  <sheetPr codeName="Sheet3"/>
  <dimension ref="A1:I17"/>
  <sheetViews>
    <sheetView workbookViewId="0">
      <selection activeCell="H3" sqref="H3"/>
    </sheetView>
  </sheetViews>
  <sheetFormatPr defaultRowHeight="14.4" x14ac:dyDescent="0.3"/>
  <sheetData>
    <row r="1" spans="1:9" x14ac:dyDescent="0.3">
      <c r="A1" t="s">
        <v>21</v>
      </c>
      <c r="F1" t="s">
        <v>20</v>
      </c>
    </row>
    <row r="2" spans="1:9" x14ac:dyDescent="0.3">
      <c r="A2" t="s">
        <v>16</v>
      </c>
      <c r="B2" t="s">
        <v>17</v>
      </c>
      <c r="C2" t="s">
        <v>18</v>
      </c>
      <c r="D2" t="s">
        <v>19</v>
      </c>
      <c r="F2" t="s">
        <v>24</v>
      </c>
      <c r="G2" t="s">
        <v>23</v>
      </c>
      <c r="H2" t="s">
        <v>29</v>
      </c>
      <c r="I2" t="s">
        <v>22</v>
      </c>
    </row>
    <row r="3" spans="1:9" x14ac:dyDescent="0.3">
      <c r="A3">
        <v>0</v>
      </c>
      <c r="B3">
        <v>1</v>
      </c>
      <c r="C3">
        <v>0</v>
      </c>
      <c r="D3">
        <v>0</v>
      </c>
      <c r="F3">
        <v>0</v>
      </c>
      <c r="G3">
        <v>1</v>
      </c>
      <c r="H3">
        <v>0</v>
      </c>
      <c r="I3">
        <v>0</v>
      </c>
    </row>
    <row r="4" spans="1:9" x14ac:dyDescent="0.3">
      <c r="A4">
        <v>0.99990000000000001</v>
      </c>
      <c r="B4">
        <v>1</v>
      </c>
      <c r="C4">
        <v>0</v>
      </c>
      <c r="D4">
        <v>0</v>
      </c>
      <c r="F4">
        <v>1E-3</v>
      </c>
      <c r="G4">
        <v>1</v>
      </c>
      <c r="H4">
        <v>0</v>
      </c>
      <c r="I4">
        <v>0</v>
      </c>
    </row>
    <row r="5" spans="1:9" x14ac:dyDescent="0.3">
      <c r="A5">
        <v>1</v>
      </c>
      <c r="B5">
        <v>0</v>
      </c>
      <c r="C5">
        <v>1</v>
      </c>
      <c r="D5">
        <v>0</v>
      </c>
      <c r="F5">
        <v>0.02</v>
      </c>
      <c r="G5">
        <v>0.997</v>
      </c>
      <c r="H5">
        <v>0</v>
      </c>
      <c r="I5">
        <v>0</v>
      </c>
    </row>
    <row r="6" spans="1:9" x14ac:dyDescent="0.3">
      <c r="F6">
        <v>0.05</v>
      </c>
      <c r="G6">
        <v>0.98</v>
      </c>
      <c r="H6">
        <v>5.0000000000000001E-3</v>
      </c>
      <c r="I6">
        <v>0</v>
      </c>
    </row>
    <row r="7" spans="1:9" x14ac:dyDescent="0.3">
      <c r="F7">
        <v>0.12</v>
      </c>
      <c r="G7">
        <v>0.7</v>
      </c>
      <c r="H7">
        <v>2.5000000000000001E-2</v>
      </c>
      <c r="I7">
        <v>0</v>
      </c>
    </row>
    <row r="8" spans="1:9" x14ac:dyDescent="0.3">
      <c r="F8">
        <v>0.2</v>
      </c>
      <c r="G8">
        <v>0.35</v>
      </c>
      <c r="H8">
        <v>7.4999999999999997E-2</v>
      </c>
      <c r="I8">
        <v>0</v>
      </c>
    </row>
    <row r="9" spans="1:9" x14ac:dyDescent="0.3">
      <c r="F9">
        <v>0.25</v>
      </c>
      <c r="G9">
        <v>0.2</v>
      </c>
      <c r="H9">
        <v>0.125</v>
      </c>
      <c r="I9">
        <v>0</v>
      </c>
    </row>
    <row r="10" spans="1:9" x14ac:dyDescent="0.3">
      <c r="F10">
        <v>0.3</v>
      </c>
      <c r="G10">
        <v>0.09</v>
      </c>
      <c r="H10">
        <v>0.19</v>
      </c>
      <c r="I10">
        <v>0</v>
      </c>
    </row>
    <row r="11" spans="1:9" x14ac:dyDescent="0.3">
      <c r="F11">
        <v>0.4</v>
      </c>
      <c r="G11">
        <v>2.1000000000000001E-2</v>
      </c>
      <c r="H11">
        <v>0.41</v>
      </c>
      <c r="I11">
        <v>0</v>
      </c>
    </row>
    <row r="12" spans="1:9" x14ac:dyDescent="0.3">
      <c r="F12">
        <v>0.45</v>
      </c>
      <c r="G12">
        <v>0.01</v>
      </c>
      <c r="H12">
        <v>0.6</v>
      </c>
      <c r="I12">
        <v>0</v>
      </c>
    </row>
    <row r="13" spans="1:9" x14ac:dyDescent="0.3">
      <c r="F13">
        <v>0.5</v>
      </c>
      <c r="G13">
        <v>1E-3</v>
      </c>
      <c r="H13">
        <v>0.72</v>
      </c>
      <c r="I13">
        <v>0</v>
      </c>
    </row>
    <row r="14" spans="1:9" x14ac:dyDescent="0.3">
      <c r="F14">
        <v>0.6</v>
      </c>
      <c r="G14">
        <v>1E-4</v>
      </c>
      <c r="H14">
        <v>0.87</v>
      </c>
      <c r="I14">
        <v>0</v>
      </c>
    </row>
    <row r="15" spans="1:9" x14ac:dyDescent="0.3">
      <c r="F15">
        <v>0.7</v>
      </c>
      <c r="G15">
        <v>0</v>
      </c>
      <c r="H15">
        <v>0.94</v>
      </c>
      <c r="I15">
        <v>0</v>
      </c>
    </row>
    <row r="16" spans="1:9" x14ac:dyDescent="0.3">
      <c r="F16">
        <v>0.85</v>
      </c>
      <c r="G16">
        <v>0</v>
      </c>
      <c r="H16">
        <v>0.98</v>
      </c>
      <c r="I16">
        <v>0</v>
      </c>
    </row>
    <row r="17" spans="6:9" x14ac:dyDescent="0.3">
      <c r="F17">
        <v>1</v>
      </c>
      <c r="G17">
        <v>0</v>
      </c>
      <c r="H17">
        <v>1</v>
      </c>
      <c r="I1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B1FD-93C1-4FD0-9D2C-FE2B26A10C48}">
  <sheetPr codeName="Sheet4"/>
  <dimension ref="A1:E7"/>
  <sheetViews>
    <sheetView workbookViewId="0">
      <selection activeCell="B2" sqref="B2"/>
    </sheetView>
  </sheetViews>
  <sheetFormatPr defaultRowHeight="14.4" x14ac:dyDescent="0.3"/>
  <cols>
    <col min="4" max="4" width="15" bestFit="1" customWidth="1"/>
  </cols>
  <sheetData>
    <row r="1" spans="1:5" x14ac:dyDescent="0.3">
      <c r="A1" t="s">
        <v>10</v>
      </c>
      <c r="B1">
        <v>3000</v>
      </c>
      <c r="D1" t="s">
        <v>32</v>
      </c>
      <c r="E1" s="1">
        <v>1.47E-5</v>
      </c>
    </row>
    <row r="2" spans="1:5" x14ac:dyDescent="0.3">
      <c r="A2" t="s">
        <v>11</v>
      </c>
      <c r="B2">
        <v>4790</v>
      </c>
      <c r="D2" t="s">
        <v>33</v>
      </c>
      <c r="E2" s="1">
        <v>3.0000000000000001E-6</v>
      </c>
    </row>
    <row r="3" spans="1:5" x14ac:dyDescent="0.3">
      <c r="A3" t="s">
        <v>12</v>
      </c>
      <c r="B3">
        <v>46.244</v>
      </c>
      <c r="D3" t="s">
        <v>34</v>
      </c>
      <c r="E3" s="1">
        <v>2.9999999999999997E-4</v>
      </c>
    </row>
    <row r="4" spans="1:5" x14ac:dyDescent="0.3">
      <c r="A4" t="s">
        <v>13</v>
      </c>
      <c r="B4">
        <v>63.238</v>
      </c>
    </row>
    <row r="5" spans="1:5" x14ac:dyDescent="0.3">
      <c r="A5" t="s">
        <v>14</v>
      </c>
      <c r="B5">
        <v>6.4699999999999994E-2</v>
      </c>
    </row>
    <row r="6" spans="1:5" x14ac:dyDescent="0.3">
      <c r="A6" t="s">
        <v>15</v>
      </c>
      <c r="B6" s="1">
        <v>3.0000000000000001E-6</v>
      </c>
    </row>
    <row r="7" spans="1:5" x14ac:dyDescent="0.3">
      <c r="A7" t="s">
        <v>31</v>
      </c>
      <c r="B7">
        <v>4014.5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5C56B-68B5-4D69-96F2-EBC50190035B}">
  <sheetPr codeName="Sheet5"/>
  <dimension ref="A1:B7"/>
  <sheetViews>
    <sheetView workbookViewId="0">
      <selection activeCell="B7" sqref="B7"/>
    </sheetView>
  </sheetViews>
  <sheetFormatPr defaultRowHeight="14.4" x14ac:dyDescent="0.3"/>
  <sheetData>
    <row r="1" spans="1:2" x14ac:dyDescent="0.3">
      <c r="A1" t="s">
        <v>25</v>
      </c>
      <c r="B1">
        <v>0.12</v>
      </c>
    </row>
    <row r="2" spans="1:2" x14ac:dyDescent="0.3">
      <c r="A2" t="s">
        <v>24</v>
      </c>
      <c r="B2">
        <v>0</v>
      </c>
    </row>
    <row r="3" spans="1:2" x14ac:dyDescent="0.3">
      <c r="A3" t="s">
        <v>26</v>
      </c>
      <c r="B3">
        <f>1-B2-B1</f>
        <v>0.88</v>
      </c>
    </row>
    <row r="5" spans="1:2" x14ac:dyDescent="0.3">
      <c r="A5" t="s">
        <v>27</v>
      </c>
      <c r="B5">
        <f>B3</f>
        <v>0.88</v>
      </c>
    </row>
    <row r="6" spans="1:2" x14ac:dyDescent="0.3">
      <c r="A6" t="s">
        <v>28</v>
      </c>
      <c r="B6">
        <v>1</v>
      </c>
    </row>
    <row r="7" spans="1:2" x14ac:dyDescent="0.3">
      <c r="A7" t="s">
        <v>30</v>
      </c>
      <c r="B7">
        <f>REF!B2</f>
        <v>4790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52B0D-F997-4504-8297-68BDD5DCE9CF}">
  <sheetPr codeName="Sheet6"/>
  <dimension ref="A1:E41"/>
  <sheetViews>
    <sheetView tabSelected="1" workbookViewId="0">
      <selection activeCell="O12" sqref="O11:O12"/>
    </sheetView>
  </sheetViews>
  <sheetFormatPr defaultRowHeight="14.4" x14ac:dyDescent="0.3"/>
  <sheetData>
    <row r="1" spans="1:5" x14ac:dyDescent="0.3">
      <c r="A1" t="s">
        <v>35</v>
      </c>
    </row>
    <row r="2" spans="1:5" x14ac:dyDescent="0.3">
      <c r="A2">
        <v>4822.1138888888891</v>
      </c>
      <c r="B2">
        <v>4822.1138888888891</v>
      </c>
      <c r="C2">
        <v>4822.1138888888891</v>
      </c>
      <c r="D2">
        <v>4822.1138888888891</v>
      </c>
      <c r="E2">
        <v>4822.1138888888891</v>
      </c>
    </row>
    <row r="3" spans="1:5" x14ac:dyDescent="0.3">
      <c r="A3">
        <v>4822.1138888888891</v>
      </c>
      <c r="B3">
        <v>4822.1138888888891</v>
      </c>
      <c r="C3">
        <v>4822.1138888888891</v>
      </c>
      <c r="D3">
        <v>4822.1138888888891</v>
      </c>
      <c r="E3">
        <v>4822.1138888888891</v>
      </c>
    </row>
    <row r="4" spans="1:5" x14ac:dyDescent="0.3">
      <c r="A4">
        <v>4822.1138888888891</v>
      </c>
      <c r="B4">
        <v>4822.1138888888891</v>
      </c>
      <c r="C4">
        <v>4822.1138888888891</v>
      </c>
      <c r="D4">
        <v>4822.1138888888891</v>
      </c>
      <c r="E4">
        <v>4822.1138888888891</v>
      </c>
    </row>
    <row r="5" spans="1:5" x14ac:dyDescent="0.3">
      <c r="A5">
        <v>4822.1138888888891</v>
      </c>
      <c r="B5">
        <v>4822.1138888888891</v>
      </c>
      <c r="C5">
        <v>4822.1138888888891</v>
      </c>
      <c r="D5">
        <v>4822.1138888888891</v>
      </c>
      <c r="E5">
        <v>4822.1138888888891</v>
      </c>
    </row>
    <row r="6" spans="1:5" x14ac:dyDescent="0.3">
      <c r="A6">
        <v>4822.1138888888891</v>
      </c>
      <c r="B6">
        <v>4822.1138888888891</v>
      </c>
      <c r="C6">
        <v>4822.1138888888891</v>
      </c>
      <c r="D6">
        <v>4822.1138888888891</v>
      </c>
      <c r="E6">
        <v>4822.1138888888891</v>
      </c>
    </row>
    <row r="8" spans="1:5" x14ac:dyDescent="0.3">
      <c r="A8" t="s">
        <v>37</v>
      </c>
    </row>
    <row r="9" spans="1:5" x14ac:dyDescent="0.3">
      <c r="A9">
        <v>4822.1111857966462</v>
      </c>
      <c r="B9">
        <v>4822.1111883697085</v>
      </c>
      <c r="C9">
        <v>4822.1111909413021</v>
      </c>
      <c r="D9">
        <v>4822.1111883697085</v>
      </c>
      <c r="E9">
        <v>4822.1111857966462</v>
      </c>
    </row>
    <row r="10" spans="1:5" x14ac:dyDescent="0.3">
      <c r="A10">
        <v>4822.1111883697085</v>
      </c>
      <c r="B10">
        <v>4822.1111935124045</v>
      </c>
      <c r="C10">
        <v>4822.1112012208177</v>
      </c>
      <c r="D10">
        <v>4822.1111935124045</v>
      </c>
      <c r="E10">
        <v>4822.1111883697085</v>
      </c>
    </row>
    <row r="11" spans="1:5" x14ac:dyDescent="0.3">
      <c r="A11">
        <v>4822.1111909413021</v>
      </c>
      <c r="B11">
        <v>4822.1112012208177</v>
      </c>
      <c r="C11">
        <v>4822.1112320339216</v>
      </c>
      <c r="D11">
        <v>4822.1112012208177</v>
      </c>
      <c r="E11">
        <v>4822.1111909413021</v>
      </c>
    </row>
    <row r="12" spans="1:5" x14ac:dyDescent="0.3">
      <c r="A12">
        <v>4822.1111883697085</v>
      </c>
      <c r="B12">
        <v>4822.1111935124045</v>
      </c>
      <c r="C12">
        <v>4822.1112012208177</v>
      </c>
      <c r="D12">
        <v>4822.1111935124045</v>
      </c>
      <c r="E12">
        <v>4822.1111883697085</v>
      </c>
    </row>
    <row r="13" spans="1:5" x14ac:dyDescent="0.3">
      <c r="A13">
        <v>4822.1111857966462</v>
      </c>
      <c r="B13">
        <v>4822.1111883697085</v>
      </c>
      <c r="C13">
        <v>4822.1111909413021</v>
      </c>
      <c r="D13">
        <v>4822.1111883697085</v>
      </c>
      <c r="E13">
        <v>4822.1111857966462</v>
      </c>
    </row>
    <row r="15" spans="1:5" x14ac:dyDescent="0.3">
      <c r="A15" t="s">
        <v>38</v>
      </c>
    </row>
    <row r="16" spans="1:5" x14ac:dyDescent="0.3">
      <c r="A16">
        <v>4822.1112247673746</v>
      </c>
      <c r="B16">
        <v>4822.1112247605906</v>
      </c>
      <c r="C16">
        <v>4822.1112247552628</v>
      </c>
      <c r="D16">
        <v>4822.1112247605906</v>
      </c>
      <c r="E16">
        <v>4822.1112247673746</v>
      </c>
    </row>
    <row r="17" spans="1:5" x14ac:dyDescent="0.3">
      <c r="A17">
        <v>4822.1112247605906</v>
      </c>
      <c r="B17">
        <v>4822.1112247504207</v>
      </c>
      <c r="C17">
        <v>4822.1112247407418</v>
      </c>
      <c r="D17">
        <v>4822.1112247504207</v>
      </c>
      <c r="E17">
        <v>4822.1112247605906</v>
      </c>
    </row>
    <row r="18" spans="1:5" x14ac:dyDescent="0.3">
      <c r="A18">
        <v>4822.1112247552628</v>
      </c>
      <c r="B18">
        <v>4822.1112247407418</v>
      </c>
      <c r="C18">
        <v>4822.1112247223655</v>
      </c>
      <c r="D18">
        <v>4822.1112247407418</v>
      </c>
      <c r="E18">
        <v>4822.1112247552628</v>
      </c>
    </row>
    <row r="19" spans="1:5" x14ac:dyDescent="0.3">
      <c r="A19">
        <v>4822.1112247605906</v>
      </c>
      <c r="B19">
        <v>4822.1112247504207</v>
      </c>
      <c r="C19">
        <v>4822.1112247407418</v>
      </c>
      <c r="D19">
        <v>4822.1112247504207</v>
      </c>
      <c r="E19">
        <v>4822.1112247605906</v>
      </c>
    </row>
    <row r="20" spans="1:5" x14ac:dyDescent="0.3">
      <c r="A20">
        <v>4822.1112247673746</v>
      </c>
      <c r="B20">
        <v>4822.1112247605906</v>
      </c>
      <c r="C20">
        <v>4822.1112247552628</v>
      </c>
      <c r="D20">
        <v>4822.1112247605906</v>
      </c>
      <c r="E20">
        <v>4822.1112247673746</v>
      </c>
    </row>
    <row r="22" spans="1:5" x14ac:dyDescent="0.3">
      <c r="A22" t="s">
        <v>39</v>
      </c>
    </row>
    <row r="23" spans="1:5" x14ac:dyDescent="0.3">
      <c r="A23">
        <v>4822.1112243804791</v>
      </c>
      <c r="B23">
        <v>4822.1112243804109</v>
      </c>
      <c r="C23">
        <v>4822.1112243803555</v>
      </c>
      <c r="D23">
        <v>4822.1112243804109</v>
      </c>
      <c r="E23">
        <v>4822.1112243804791</v>
      </c>
    </row>
    <row r="24" spans="1:5" x14ac:dyDescent="0.3">
      <c r="A24">
        <v>4822.1112243804109</v>
      </c>
      <c r="B24">
        <v>4822.1112243803045</v>
      </c>
      <c r="C24">
        <v>4822.1112243802008</v>
      </c>
      <c r="D24">
        <v>4822.1112243803045</v>
      </c>
      <c r="E24">
        <v>4822.1112243804109</v>
      </c>
    </row>
    <row r="25" spans="1:5" x14ac:dyDescent="0.3">
      <c r="A25">
        <v>4822.1112243803555</v>
      </c>
      <c r="B25">
        <v>4822.1112243802008</v>
      </c>
      <c r="C25">
        <v>4822.1112243799971</v>
      </c>
      <c r="D25">
        <v>4822.1112243802008</v>
      </c>
      <c r="E25">
        <v>4822.1112243803555</v>
      </c>
    </row>
    <row r="26" spans="1:5" x14ac:dyDescent="0.3">
      <c r="A26">
        <v>4822.1112243804109</v>
      </c>
      <c r="B26">
        <v>4822.1112243803045</v>
      </c>
      <c r="C26">
        <v>4822.1112243802008</v>
      </c>
      <c r="D26">
        <v>4822.1112243803045</v>
      </c>
      <c r="E26">
        <v>4822.1112243804109</v>
      </c>
    </row>
    <row r="27" spans="1:5" x14ac:dyDescent="0.3">
      <c r="A27">
        <v>4822.1112243804791</v>
      </c>
      <c r="B27">
        <v>4822.1112243804109</v>
      </c>
      <c r="C27">
        <v>4822.1112243803555</v>
      </c>
      <c r="D27">
        <v>4822.1112243804109</v>
      </c>
      <c r="E27">
        <v>4822.1112243804791</v>
      </c>
    </row>
    <row r="29" spans="1:5" x14ac:dyDescent="0.3">
      <c r="A29" t="s">
        <v>40</v>
      </c>
    </row>
    <row r="30" spans="1:5" x14ac:dyDescent="0.3">
      <c r="A30">
        <v>4822.1112243847519</v>
      </c>
      <c r="B30">
        <v>4822.1112243847519</v>
      </c>
      <c r="C30">
        <v>4822.1112243847519</v>
      </c>
      <c r="D30">
        <v>4822.1112243847519</v>
      </c>
      <c r="E30">
        <v>4822.1112243847519</v>
      </c>
    </row>
    <row r="31" spans="1:5" x14ac:dyDescent="0.3">
      <c r="A31">
        <v>4822.1112243847519</v>
      </c>
      <c r="B31">
        <v>4822.1112243847519</v>
      </c>
      <c r="C31">
        <v>4822.1112243847529</v>
      </c>
      <c r="D31">
        <v>4822.1112243847519</v>
      </c>
      <c r="E31">
        <v>4822.1112243847519</v>
      </c>
    </row>
    <row r="32" spans="1:5" x14ac:dyDescent="0.3">
      <c r="A32">
        <v>4822.1112243847519</v>
      </c>
      <c r="B32">
        <v>4822.1112243847529</v>
      </c>
      <c r="C32">
        <v>4822.1112243847529</v>
      </c>
      <c r="D32">
        <v>4822.1112243847529</v>
      </c>
      <c r="E32">
        <v>4822.1112243847519</v>
      </c>
    </row>
    <row r="33" spans="1:5" x14ac:dyDescent="0.3">
      <c r="A33">
        <v>4822.1112243847519</v>
      </c>
      <c r="B33">
        <v>4822.1112243847519</v>
      </c>
      <c r="C33">
        <v>4822.1112243847529</v>
      </c>
      <c r="D33">
        <v>4822.1112243847519</v>
      </c>
      <c r="E33">
        <v>4822.1112243847519</v>
      </c>
    </row>
    <row r="34" spans="1:5" x14ac:dyDescent="0.3">
      <c r="A34">
        <v>4822.1112243847519</v>
      </c>
      <c r="B34">
        <v>4822.1112243847519</v>
      </c>
      <c r="C34">
        <v>4822.1112243847519</v>
      </c>
      <c r="D34">
        <v>4822.1112243847519</v>
      </c>
      <c r="E34">
        <v>4822.1112243847519</v>
      </c>
    </row>
    <row r="36" spans="1:5" x14ac:dyDescent="0.3">
      <c r="A36" t="s">
        <v>36</v>
      </c>
    </row>
    <row r="37" spans="1:5" x14ac:dyDescent="0.3">
      <c r="A37">
        <v>4822.1112243847019</v>
      </c>
      <c r="B37">
        <v>4822.1112243847019</v>
      </c>
      <c r="C37">
        <v>4822.1112243847019</v>
      </c>
      <c r="D37">
        <v>4822.1112243847019</v>
      </c>
      <c r="E37">
        <v>4822.1112243847019</v>
      </c>
    </row>
    <row r="38" spans="1:5" x14ac:dyDescent="0.3">
      <c r="A38">
        <v>4822.1112243847019</v>
      </c>
      <c r="B38">
        <v>4822.1112243847019</v>
      </c>
      <c r="C38">
        <v>4822.1112243847019</v>
      </c>
      <c r="D38">
        <v>4822.1112243847019</v>
      </c>
      <c r="E38">
        <v>4822.1112243847019</v>
      </c>
    </row>
    <row r="39" spans="1:5" x14ac:dyDescent="0.3">
      <c r="A39">
        <v>4822.1112243847019</v>
      </c>
      <c r="B39">
        <v>4822.1112243847019</v>
      </c>
      <c r="C39">
        <v>4822.1112243847019</v>
      </c>
      <c r="D39">
        <v>4822.1112243847019</v>
      </c>
      <c r="E39">
        <v>4822.1112243847019</v>
      </c>
    </row>
    <row r="40" spans="1:5" x14ac:dyDescent="0.3">
      <c r="A40">
        <v>4822.1112243847019</v>
      </c>
      <c r="B40">
        <v>4822.1112243847019</v>
      </c>
      <c r="C40">
        <v>4822.1112243847019</v>
      </c>
      <c r="D40">
        <v>4822.1112243847019</v>
      </c>
      <c r="E40">
        <v>4822.1112243847019</v>
      </c>
    </row>
    <row r="41" spans="1:5" x14ac:dyDescent="0.3">
      <c r="A41">
        <v>4822.1112243847019</v>
      </c>
      <c r="B41">
        <v>4822.1112243847019</v>
      </c>
      <c r="C41">
        <v>4822.1112243847019</v>
      </c>
      <c r="D41">
        <v>4822.1112243847019</v>
      </c>
      <c r="E41">
        <v>4822.1112243847019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im">
                <anchor moveWithCells="1" sizeWithCells="1">
                  <from>
                    <xdr:col>10</xdr:col>
                    <xdr:colOff>541020</xdr:colOff>
                    <xdr:row>1</xdr:row>
                    <xdr:rowOff>129540</xdr:rowOff>
                  </from>
                  <to>
                    <xdr:col>13</xdr:col>
                    <xdr:colOff>236220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2B1A-2CA6-4B7C-91B6-9443B9B98129}">
  <sheetPr codeName="Sheet10"/>
  <dimension ref="A1:E41"/>
  <sheetViews>
    <sheetView topLeftCell="A50" workbookViewId="0">
      <selection activeCell="H20" sqref="H20"/>
    </sheetView>
  </sheetViews>
  <sheetFormatPr defaultRowHeight="14.4" x14ac:dyDescent="0.3"/>
  <sheetData>
    <row r="1" spans="1:5" x14ac:dyDescent="0.3">
      <c r="A1" t="s">
        <v>35</v>
      </c>
    </row>
    <row r="2" spans="1:5" x14ac:dyDescent="0.3">
      <c r="A2">
        <v>0.88</v>
      </c>
      <c r="B2">
        <v>0.88</v>
      </c>
      <c r="C2">
        <v>0.88</v>
      </c>
      <c r="D2">
        <v>0.88</v>
      </c>
      <c r="E2">
        <v>0.88</v>
      </c>
    </row>
    <row r="3" spans="1:5" x14ac:dyDescent="0.3">
      <c r="A3">
        <v>0.88</v>
      </c>
      <c r="B3">
        <v>0.88</v>
      </c>
      <c r="C3">
        <v>0.88</v>
      </c>
      <c r="D3">
        <v>0.88</v>
      </c>
      <c r="E3">
        <v>0.88</v>
      </c>
    </row>
    <row r="4" spans="1:5" x14ac:dyDescent="0.3">
      <c r="A4">
        <v>0.88</v>
      </c>
      <c r="B4">
        <v>0.88</v>
      </c>
      <c r="C4">
        <v>0.88</v>
      </c>
      <c r="D4">
        <v>0.88</v>
      </c>
      <c r="E4">
        <v>0.88</v>
      </c>
    </row>
    <row r="5" spans="1:5" x14ac:dyDescent="0.3">
      <c r="A5">
        <v>0.88</v>
      </c>
      <c r="B5">
        <v>0.88</v>
      </c>
      <c r="C5">
        <v>0.88</v>
      </c>
      <c r="D5">
        <v>0.88</v>
      </c>
      <c r="E5">
        <v>0.88</v>
      </c>
    </row>
    <row r="6" spans="1:5" x14ac:dyDescent="0.3">
      <c r="A6">
        <v>0.88</v>
      </c>
      <c r="B6">
        <v>0.88</v>
      </c>
      <c r="C6">
        <v>0.88</v>
      </c>
      <c r="D6">
        <v>0.88</v>
      </c>
      <c r="E6">
        <v>0.88</v>
      </c>
    </row>
    <row r="8" spans="1:5" x14ac:dyDescent="0.3">
      <c r="A8" t="s">
        <v>37</v>
      </c>
    </row>
    <row r="9" spans="1:5" x14ac:dyDescent="0.3">
      <c r="A9">
        <v>0.8799999980537736</v>
      </c>
      <c r="B9">
        <v>0.87999999805562612</v>
      </c>
      <c r="C9">
        <v>0.87999999805747775</v>
      </c>
      <c r="D9">
        <v>0.87999999805562612</v>
      </c>
      <c r="E9">
        <v>0.8799999980537736</v>
      </c>
    </row>
    <row r="10" spans="1:5" x14ac:dyDescent="0.3">
      <c r="A10">
        <v>0.87999999805562612</v>
      </c>
      <c r="B10">
        <v>0.87999999805932894</v>
      </c>
      <c r="C10">
        <v>0.87999999806487894</v>
      </c>
      <c r="D10">
        <v>0.87999999805932894</v>
      </c>
      <c r="E10">
        <v>0.87999999805562612</v>
      </c>
    </row>
    <row r="11" spans="1:5" x14ac:dyDescent="0.3">
      <c r="A11">
        <v>0.87999999805747775</v>
      </c>
      <c r="B11">
        <v>0.87999999806487894</v>
      </c>
      <c r="C11">
        <v>0.87999587896076414</v>
      </c>
      <c r="D11">
        <v>0.87999999806487894</v>
      </c>
      <c r="E11">
        <v>0.87999999805747775</v>
      </c>
    </row>
    <row r="12" spans="1:5" x14ac:dyDescent="0.3">
      <c r="A12">
        <v>0.87999999805562612</v>
      </c>
      <c r="B12">
        <v>0.87999999805932894</v>
      </c>
      <c r="C12">
        <v>0.87999999806487894</v>
      </c>
      <c r="D12">
        <v>0.87999999805932894</v>
      </c>
      <c r="E12">
        <v>0.87999999805562612</v>
      </c>
    </row>
    <row r="13" spans="1:5" x14ac:dyDescent="0.3">
      <c r="A13">
        <v>0.8799999980537736</v>
      </c>
      <c r="B13">
        <v>0.87999999805562612</v>
      </c>
      <c r="C13">
        <v>0.87999999805747775</v>
      </c>
      <c r="D13">
        <v>0.87999999805562612</v>
      </c>
      <c r="E13">
        <v>0.8799999980537736</v>
      </c>
    </row>
    <row r="15" spans="1:5" x14ac:dyDescent="0.3">
      <c r="A15" t="s">
        <v>38</v>
      </c>
    </row>
    <row r="16" spans="1:5" x14ac:dyDescent="0.3">
      <c r="A16">
        <v>0.88000000002805889</v>
      </c>
      <c r="B16">
        <v>0.88000000002620138</v>
      </c>
      <c r="C16">
        <v>0.88000000002434609</v>
      </c>
      <c r="D16">
        <v>0.88000000002620138</v>
      </c>
      <c r="E16">
        <v>0.88000000002805889</v>
      </c>
    </row>
    <row r="17" spans="1:5" x14ac:dyDescent="0.3">
      <c r="A17">
        <v>0.88000000002620138</v>
      </c>
      <c r="B17">
        <v>0.88000000002249135</v>
      </c>
      <c r="C17">
        <v>0.88000000001693435</v>
      </c>
      <c r="D17">
        <v>0.88000000002249135</v>
      </c>
      <c r="E17">
        <v>0.88000000002620138</v>
      </c>
    </row>
    <row r="18" spans="1:5" x14ac:dyDescent="0.3">
      <c r="A18">
        <v>0.88000000002434609</v>
      </c>
      <c r="B18">
        <v>0.88000000001693435</v>
      </c>
      <c r="C18">
        <v>0.87999588086843517</v>
      </c>
      <c r="D18">
        <v>0.88000000001693435</v>
      </c>
      <c r="E18">
        <v>0.88000000002434609</v>
      </c>
    </row>
    <row r="19" spans="1:5" x14ac:dyDescent="0.3">
      <c r="A19">
        <v>0.88000000002620138</v>
      </c>
      <c r="B19">
        <v>0.88000000002249135</v>
      </c>
      <c r="C19">
        <v>0.88000000001693435</v>
      </c>
      <c r="D19">
        <v>0.88000000002249135</v>
      </c>
      <c r="E19">
        <v>0.88000000002620138</v>
      </c>
    </row>
    <row r="20" spans="1:5" x14ac:dyDescent="0.3">
      <c r="A20">
        <v>0.88000000002805889</v>
      </c>
      <c r="B20">
        <v>0.88000000002620138</v>
      </c>
      <c r="C20">
        <v>0.88000000002434609</v>
      </c>
      <c r="D20">
        <v>0.88000000002620138</v>
      </c>
      <c r="E20">
        <v>0.88000000002805889</v>
      </c>
    </row>
    <row r="22" spans="1:5" x14ac:dyDescent="0.3">
      <c r="A22" t="s">
        <v>39</v>
      </c>
    </row>
    <row r="23" spans="1:5" x14ac:dyDescent="0.3">
      <c r="A23">
        <v>0.87999999999972145</v>
      </c>
      <c r="B23">
        <v>0.87999999999972633</v>
      </c>
      <c r="C23">
        <v>0.87999999999973011</v>
      </c>
      <c r="D23">
        <v>0.87999999999972633</v>
      </c>
      <c r="E23">
        <v>0.87999999999972145</v>
      </c>
    </row>
    <row r="24" spans="1:5" x14ac:dyDescent="0.3">
      <c r="A24">
        <v>0.87999999999972633</v>
      </c>
      <c r="B24">
        <v>0.87999999999973355</v>
      </c>
      <c r="C24">
        <v>0.87999999999974043</v>
      </c>
      <c r="D24">
        <v>0.87999999999973355</v>
      </c>
      <c r="E24">
        <v>0.87999999999972633</v>
      </c>
    </row>
    <row r="25" spans="1:5" x14ac:dyDescent="0.3">
      <c r="A25">
        <v>0.87999999999973011</v>
      </c>
      <c r="B25">
        <v>0.87999999999974043</v>
      </c>
      <c r="C25">
        <v>0.87999588087345304</v>
      </c>
      <c r="D25">
        <v>0.87999999999974043</v>
      </c>
      <c r="E25">
        <v>0.87999999999973011</v>
      </c>
    </row>
    <row r="26" spans="1:5" x14ac:dyDescent="0.3">
      <c r="A26">
        <v>0.87999999999972633</v>
      </c>
      <c r="B26">
        <v>0.87999999999973355</v>
      </c>
      <c r="C26">
        <v>0.87999999999974043</v>
      </c>
      <c r="D26">
        <v>0.87999999999973355</v>
      </c>
      <c r="E26">
        <v>0.87999999999972633</v>
      </c>
    </row>
    <row r="27" spans="1:5" x14ac:dyDescent="0.3">
      <c r="A27">
        <v>0.87999999999972145</v>
      </c>
      <c r="B27">
        <v>0.87999999999972633</v>
      </c>
      <c r="C27">
        <v>0.87999999999973011</v>
      </c>
      <c r="D27">
        <v>0.87999999999972633</v>
      </c>
      <c r="E27">
        <v>0.87999999999972145</v>
      </c>
    </row>
    <row r="29" spans="1:5" x14ac:dyDescent="0.3">
      <c r="A29" t="s">
        <v>40</v>
      </c>
    </row>
    <row r="30" spans="1:5" x14ac:dyDescent="0.3">
      <c r="A30">
        <v>0.88000000000000311</v>
      </c>
      <c r="B30">
        <v>0.88000000000000311</v>
      </c>
      <c r="C30">
        <v>0.88000000000000311</v>
      </c>
      <c r="D30">
        <v>0.88000000000000311</v>
      </c>
      <c r="E30">
        <v>0.88000000000000311</v>
      </c>
    </row>
    <row r="31" spans="1:5" x14ac:dyDescent="0.3">
      <c r="A31">
        <v>0.88000000000000311</v>
      </c>
      <c r="B31">
        <v>0.88000000000000322</v>
      </c>
      <c r="C31">
        <v>0.88000000000000322</v>
      </c>
      <c r="D31">
        <v>0.88000000000000322</v>
      </c>
      <c r="E31">
        <v>0.88000000000000311</v>
      </c>
    </row>
    <row r="32" spans="1:5" x14ac:dyDescent="0.3">
      <c r="A32">
        <v>0.88000000000000311</v>
      </c>
      <c r="B32">
        <v>0.88000000000000322</v>
      </c>
      <c r="C32">
        <v>0.87999588087370295</v>
      </c>
      <c r="D32">
        <v>0.88000000000000322</v>
      </c>
      <c r="E32">
        <v>0.88000000000000311</v>
      </c>
    </row>
    <row r="33" spans="1:5" x14ac:dyDescent="0.3">
      <c r="A33">
        <v>0.88000000000000311</v>
      </c>
      <c r="B33">
        <v>0.88000000000000322</v>
      </c>
      <c r="C33">
        <v>0.88000000000000322</v>
      </c>
      <c r="D33">
        <v>0.88000000000000322</v>
      </c>
      <c r="E33">
        <v>0.88000000000000311</v>
      </c>
    </row>
    <row r="34" spans="1:5" x14ac:dyDescent="0.3">
      <c r="A34">
        <v>0.88000000000000311</v>
      </c>
      <c r="B34">
        <v>0.88000000000000311</v>
      </c>
      <c r="C34">
        <v>0.88000000000000311</v>
      </c>
      <c r="D34">
        <v>0.88000000000000311</v>
      </c>
      <c r="E34">
        <v>0.88000000000000311</v>
      </c>
    </row>
    <row r="36" spans="1:5" x14ac:dyDescent="0.3">
      <c r="A36" t="s">
        <v>36</v>
      </c>
    </row>
    <row r="37" spans="1:5" x14ac:dyDescent="0.3">
      <c r="A37">
        <v>0.88</v>
      </c>
      <c r="B37">
        <v>0.88</v>
      </c>
      <c r="C37">
        <v>0.88</v>
      </c>
      <c r="D37">
        <v>0.88</v>
      </c>
      <c r="E37">
        <v>0.88</v>
      </c>
    </row>
    <row r="38" spans="1:5" x14ac:dyDescent="0.3">
      <c r="A38">
        <v>0.88</v>
      </c>
      <c r="B38">
        <v>0.88</v>
      </c>
      <c r="C38">
        <v>0.88</v>
      </c>
      <c r="D38">
        <v>0.88</v>
      </c>
      <c r="E38">
        <v>0.88</v>
      </c>
    </row>
    <row r="39" spans="1:5" x14ac:dyDescent="0.3">
      <c r="A39">
        <v>0.88</v>
      </c>
      <c r="B39">
        <v>0.88</v>
      </c>
      <c r="C39">
        <v>0.87999588087369951</v>
      </c>
      <c r="D39">
        <v>0.88</v>
      </c>
      <c r="E39">
        <v>0.88</v>
      </c>
    </row>
    <row r="40" spans="1:5" x14ac:dyDescent="0.3">
      <c r="A40">
        <v>0.88</v>
      </c>
      <c r="B40">
        <v>0.88</v>
      </c>
      <c r="C40">
        <v>0.88</v>
      </c>
      <c r="D40">
        <v>0.88</v>
      </c>
      <c r="E40">
        <v>0.88</v>
      </c>
    </row>
    <row r="41" spans="1:5" x14ac:dyDescent="0.3">
      <c r="A41">
        <v>0.88</v>
      </c>
      <c r="B41">
        <v>0.88</v>
      </c>
      <c r="C41">
        <v>0.88</v>
      </c>
      <c r="D41">
        <v>0.88</v>
      </c>
      <c r="E41">
        <v>0.88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6852-5F88-4BBF-8B72-AC22AE1A8950}">
  <sheetPr codeName="Sheet8"/>
  <dimension ref="A1:E41"/>
  <sheetViews>
    <sheetView workbookViewId="0">
      <selection activeCell="C11" sqref="C11"/>
    </sheetView>
  </sheetViews>
  <sheetFormatPr defaultRowHeight="14.4" x14ac:dyDescent="0.3"/>
  <sheetData>
    <row r="1" spans="1:5" x14ac:dyDescent="0.3">
      <c r="A1" t="s">
        <v>35</v>
      </c>
    </row>
    <row r="2" spans="1:5" x14ac:dyDescent="0.3">
      <c r="A2">
        <v>0.12</v>
      </c>
      <c r="B2">
        <v>0.12</v>
      </c>
      <c r="C2">
        <v>0.12</v>
      </c>
      <c r="D2">
        <v>0.12</v>
      </c>
      <c r="E2">
        <v>0.12</v>
      </c>
    </row>
    <row r="3" spans="1:5" x14ac:dyDescent="0.3">
      <c r="A3">
        <v>0.12</v>
      </c>
      <c r="B3">
        <v>0.12</v>
      </c>
      <c r="C3">
        <v>0.12</v>
      </c>
      <c r="D3">
        <v>0.12</v>
      </c>
      <c r="E3">
        <v>0.12</v>
      </c>
    </row>
    <row r="4" spans="1:5" x14ac:dyDescent="0.3">
      <c r="A4">
        <v>0.12</v>
      </c>
      <c r="B4">
        <v>0.12</v>
      </c>
      <c r="C4">
        <v>0.12</v>
      </c>
      <c r="D4">
        <v>0.12</v>
      </c>
      <c r="E4">
        <v>0.12</v>
      </c>
    </row>
    <row r="5" spans="1:5" x14ac:dyDescent="0.3">
      <c r="A5">
        <v>0.12</v>
      </c>
      <c r="B5">
        <v>0.12</v>
      </c>
      <c r="C5">
        <v>0.12</v>
      </c>
      <c r="D5">
        <v>0.12</v>
      </c>
      <c r="E5">
        <v>0.12</v>
      </c>
    </row>
    <row r="6" spans="1:5" x14ac:dyDescent="0.3">
      <c r="A6">
        <v>0.12</v>
      </c>
      <c r="B6">
        <v>0.12</v>
      </c>
      <c r="C6">
        <v>0.12</v>
      </c>
      <c r="D6">
        <v>0.12</v>
      </c>
      <c r="E6">
        <v>0.12</v>
      </c>
    </row>
    <row r="8" spans="1:5" x14ac:dyDescent="0.3">
      <c r="A8" t="s">
        <v>37</v>
      </c>
    </row>
    <row r="9" spans="1:5" x14ac:dyDescent="0.3">
      <c r="A9">
        <v>0.12000000194622644</v>
      </c>
      <c r="B9">
        <v>0.12000000194437384</v>
      </c>
      <c r="C9">
        <v>0.12000000194252229</v>
      </c>
      <c r="D9">
        <v>0.12000000194437384</v>
      </c>
      <c r="E9">
        <v>0.12000000194622644</v>
      </c>
    </row>
    <row r="10" spans="1:5" x14ac:dyDescent="0.3">
      <c r="A10">
        <v>0.12000000194437384</v>
      </c>
      <c r="B10">
        <v>0.12000000194067109</v>
      </c>
      <c r="C10">
        <v>0.12000000193512105</v>
      </c>
      <c r="D10">
        <v>0.12000000194067109</v>
      </c>
      <c r="E10">
        <v>0.12000000194437384</v>
      </c>
    </row>
    <row r="11" spans="1:5" x14ac:dyDescent="0.3">
      <c r="A11">
        <v>0.12000000194252229</v>
      </c>
      <c r="B11">
        <v>0.12000000193512105</v>
      </c>
      <c r="C11">
        <v>0.12000412103923588</v>
      </c>
      <c r="D11">
        <v>0.12000000193512105</v>
      </c>
      <c r="E11">
        <v>0.12000000194252229</v>
      </c>
    </row>
    <row r="12" spans="1:5" x14ac:dyDescent="0.3">
      <c r="A12">
        <v>0.12000000194437384</v>
      </c>
      <c r="B12">
        <v>0.12000000194067109</v>
      </c>
      <c r="C12">
        <v>0.12000000193512105</v>
      </c>
      <c r="D12">
        <v>0.12000000194067109</v>
      </c>
      <c r="E12">
        <v>0.12000000194437384</v>
      </c>
    </row>
    <row r="13" spans="1:5" x14ac:dyDescent="0.3">
      <c r="A13">
        <v>0.12000000194622644</v>
      </c>
      <c r="B13">
        <v>0.12000000194437384</v>
      </c>
      <c r="C13">
        <v>0.12000000194252229</v>
      </c>
      <c r="D13">
        <v>0.12000000194437384</v>
      </c>
      <c r="E13">
        <v>0.12000000194622644</v>
      </c>
    </row>
    <row r="15" spans="1:5" x14ac:dyDescent="0.3">
      <c r="A15" t="s">
        <v>38</v>
      </c>
    </row>
    <row r="16" spans="1:5" x14ac:dyDescent="0.3">
      <c r="A16">
        <v>0.11999999997194109</v>
      </c>
      <c r="B16">
        <v>0.11999999997379858</v>
      </c>
      <c r="C16">
        <v>0.11999999997565394</v>
      </c>
      <c r="D16">
        <v>0.11999999997379858</v>
      </c>
      <c r="E16">
        <v>0.11999999997194109</v>
      </c>
    </row>
    <row r="17" spans="1:5" x14ac:dyDescent="0.3">
      <c r="A17">
        <v>0.11999999997379858</v>
      </c>
      <c r="B17">
        <v>0.11999999997750863</v>
      </c>
      <c r="C17">
        <v>0.11999999998306564</v>
      </c>
      <c r="D17">
        <v>0.11999999997750863</v>
      </c>
      <c r="E17">
        <v>0.11999999997379858</v>
      </c>
    </row>
    <row r="18" spans="1:5" x14ac:dyDescent="0.3">
      <c r="A18">
        <v>0.11999999997565394</v>
      </c>
      <c r="B18">
        <v>0.11999999998306564</v>
      </c>
      <c r="C18">
        <v>0.12000411913156481</v>
      </c>
      <c r="D18">
        <v>0.11999999998306564</v>
      </c>
      <c r="E18">
        <v>0.11999999997565394</v>
      </c>
    </row>
    <row r="19" spans="1:5" x14ac:dyDescent="0.3">
      <c r="A19">
        <v>0.11999999997379858</v>
      </c>
      <c r="B19">
        <v>0.11999999997750863</v>
      </c>
      <c r="C19">
        <v>0.11999999998306564</v>
      </c>
      <c r="D19">
        <v>0.11999999997750863</v>
      </c>
      <c r="E19">
        <v>0.11999999997379858</v>
      </c>
    </row>
    <row r="20" spans="1:5" x14ac:dyDescent="0.3">
      <c r="A20">
        <v>0.11999999997194109</v>
      </c>
      <c r="B20">
        <v>0.11999999997379858</v>
      </c>
      <c r="C20">
        <v>0.11999999997565394</v>
      </c>
      <c r="D20">
        <v>0.11999999997379858</v>
      </c>
      <c r="E20">
        <v>0.11999999997194109</v>
      </c>
    </row>
    <row r="22" spans="1:5" x14ac:dyDescent="0.3">
      <c r="A22" t="s">
        <v>39</v>
      </c>
    </row>
    <row r="23" spans="1:5" x14ac:dyDescent="0.3">
      <c r="A23">
        <v>0.12000000000027856</v>
      </c>
      <c r="B23">
        <v>0.12000000000027371</v>
      </c>
      <c r="C23">
        <v>0.12000000000026992</v>
      </c>
      <c r="D23">
        <v>0.12000000000027371</v>
      </c>
      <c r="E23">
        <v>0.12000000000027856</v>
      </c>
    </row>
    <row r="24" spans="1:5" x14ac:dyDescent="0.3">
      <c r="A24">
        <v>0.12000000000027371</v>
      </c>
      <c r="B24">
        <v>0.12000000000026648</v>
      </c>
      <c r="C24">
        <v>0.12000000000025958</v>
      </c>
      <c r="D24">
        <v>0.12000000000026648</v>
      </c>
      <c r="E24">
        <v>0.12000000000027371</v>
      </c>
    </row>
    <row r="25" spans="1:5" x14ac:dyDescent="0.3">
      <c r="A25">
        <v>0.12000000000026992</v>
      </c>
      <c r="B25">
        <v>0.12000000000025958</v>
      </c>
      <c r="C25">
        <v>0.12000411912654696</v>
      </c>
      <c r="D25">
        <v>0.12000000000025958</v>
      </c>
      <c r="E25">
        <v>0.12000000000026992</v>
      </c>
    </row>
    <row r="26" spans="1:5" x14ac:dyDescent="0.3">
      <c r="A26">
        <v>0.12000000000027371</v>
      </c>
      <c r="B26">
        <v>0.12000000000026648</v>
      </c>
      <c r="C26">
        <v>0.12000000000025958</v>
      </c>
      <c r="D26">
        <v>0.12000000000026648</v>
      </c>
      <c r="E26">
        <v>0.12000000000027371</v>
      </c>
    </row>
    <row r="27" spans="1:5" x14ac:dyDescent="0.3">
      <c r="A27">
        <v>0.12000000000027856</v>
      </c>
      <c r="B27">
        <v>0.12000000000027371</v>
      </c>
      <c r="C27">
        <v>0.12000000000026992</v>
      </c>
      <c r="D27">
        <v>0.12000000000027371</v>
      </c>
      <c r="E27">
        <v>0.12000000000027856</v>
      </c>
    </row>
    <row r="29" spans="1:5" x14ac:dyDescent="0.3">
      <c r="A29" t="s">
        <v>40</v>
      </c>
    </row>
    <row r="30" spans="1:5" x14ac:dyDescent="0.3">
      <c r="A30">
        <v>0.1199999999999969</v>
      </c>
      <c r="B30">
        <v>0.11999999999999687</v>
      </c>
      <c r="C30">
        <v>0.11999999999999685</v>
      </c>
      <c r="D30">
        <v>0.11999999999999687</v>
      </c>
      <c r="E30">
        <v>0.1199999999999969</v>
      </c>
    </row>
    <row r="31" spans="1:5" x14ac:dyDescent="0.3">
      <c r="A31">
        <v>0.11999999999999687</v>
      </c>
      <c r="B31">
        <v>0.1199999999999968</v>
      </c>
      <c r="C31">
        <v>0.11999999999999673</v>
      </c>
      <c r="D31">
        <v>0.1199999999999968</v>
      </c>
      <c r="E31">
        <v>0.11999999999999687</v>
      </c>
    </row>
    <row r="32" spans="1:5" x14ac:dyDescent="0.3">
      <c r="A32">
        <v>0.11999999999999685</v>
      </c>
      <c r="B32">
        <v>0.11999999999999673</v>
      </c>
      <c r="C32">
        <v>0.12000411912629706</v>
      </c>
      <c r="D32">
        <v>0.11999999999999673</v>
      </c>
      <c r="E32">
        <v>0.11999999999999685</v>
      </c>
    </row>
    <row r="33" spans="1:5" x14ac:dyDescent="0.3">
      <c r="A33">
        <v>0.11999999999999687</v>
      </c>
      <c r="B33">
        <v>0.1199999999999968</v>
      </c>
      <c r="C33">
        <v>0.11999999999999673</v>
      </c>
      <c r="D33">
        <v>0.1199999999999968</v>
      </c>
      <c r="E33">
        <v>0.11999999999999687</v>
      </c>
    </row>
    <row r="34" spans="1:5" x14ac:dyDescent="0.3">
      <c r="A34">
        <v>0.1199999999999969</v>
      </c>
      <c r="B34">
        <v>0.11999999999999687</v>
      </c>
      <c r="C34">
        <v>0.11999999999999685</v>
      </c>
      <c r="D34">
        <v>0.11999999999999687</v>
      </c>
      <c r="E34">
        <v>0.1199999999999969</v>
      </c>
    </row>
    <row r="36" spans="1:5" x14ac:dyDescent="0.3">
      <c r="A36" t="s">
        <v>36</v>
      </c>
    </row>
    <row r="37" spans="1:5" x14ac:dyDescent="0.3">
      <c r="A37">
        <v>0.12000000000000004</v>
      </c>
      <c r="B37">
        <v>0.12000000000000004</v>
      </c>
      <c r="C37">
        <v>0.12000000000000004</v>
      </c>
      <c r="D37">
        <v>0.12000000000000004</v>
      </c>
      <c r="E37">
        <v>0.12000000000000004</v>
      </c>
    </row>
    <row r="38" spans="1:5" x14ac:dyDescent="0.3">
      <c r="A38">
        <v>0.12000000000000004</v>
      </c>
      <c r="B38">
        <v>0.12000000000000004</v>
      </c>
      <c r="C38">
        <v>0.12000000000000004</v>
      </c>
      <c r="D38">
        <v>0.12000000000000004</v>
      </c>
      <c r="E38">
        <v>0.12000000000000004</v>
      </c>
    </row>
    <row r="39" spans="1:5" x14ac:dyDescent="0.3">
      <c r="A39">
        <v>0.12000000000000004</v>
      </c>
      <c r="B39">
        <v>0.12000000000000004</v>
      </c>
      <c r="C39">
        <v>0.12000411912630052</v>
      </c>
      <c r="D39">
        <v>0.12000000000000004</v>
      </c>
      <c r="E39">
        <v>0.12000000000000004</v>
      </c>
    </row>
    <row r="40" spans="1:5" x14ac:dyDescent="0.3">
      <c r="A40">
        <v>0.12000000000000004</v>
      </c>
      <c r="B40">
        <v>0.12000000000000004</v>
      </c>
      <c r="C40">
        <v>0.12000000000000004</v>
      </c>
      <c r="D40">
        <v>0.12000000000000004</v>
      </c>
      <c r="E40">
        <v>0.12000000000000004</v>
      </c>
    </row>
    <row r="41" spans="1:5" x14ac:dyDescent="0.3">
      <c r="A41">
        <v>0.12000000000000004</v>
      </c>
      <c r="B41">
        <v>0.12000000000000004</v>
      </c>
      <c r="C41">
        <v>0.12000000000000004</v>
      </c>
      <c r="D41">
        <v>0.12000000000000004</v>
      </c>
      <c r="E41">
        <v>0.12000000000000004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1AF9-8DE6-447F-BB20-A3702F3D4D4A}">
  <sheetPr codeName="Sheet9"/>
  <dimension ref="A1:E41"/>
  <sheetViews>
    <sheetView workbookViewId="0">
      <selection activeCell="H25" sqref="A1:XFD1048576"/>
    </sheetView>
  </sheetViews>
  <sheetFormatPr defaultRowHeight="14.4" x14ac:dyDescent="0.3"/>
  <sheetData>
    <row r="1" spans="1:5" x14ac:dyDescent="0.3">
      <c r="A1" t="s">
        <v>35</v>
      </c>
    </row>
    <row r="2" spans="1:5" x14ac:dyDescent="0.3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">
      <c r="A3">
        <v>0</v>
      </c>
      <c r="B3">
        <v>0</v>
      </c>
      <c r="C3">
        <v>0</v>
      </c>
      <c r="D3">
        <v>0</v>
      </c>
      <c r="E3">
        <v>0</v>
      </c>
    </row>
    <row r="4" spans="1:5" x14ac:dyDescent="0.3">
      <c r="A4">
        <v>0</v>
      </c>
      <c r="B4">
        <v>0</v>
      </c>
      <c r="C4">
        <v>0</v>
      </c>
      <c r="D4">
        <v>0</v>
      </c>
      <c r="E4">
        <v>0</v>
      </c>
    </row>
    <row r="5" spans="1:5" x14ac:dyDescent="0.3">
      <c r="A5">
        <v>0</v>
      </c>
      <c r="B5">
        <v>0</v>
      </c>
      <c r="C5">
        <v>0</v>
      </c>
      <c r="D5">
        <v>0</v>
      </c>
      <c r="E5">
        <v>0</v>
      </c>
    </row>
    <row r="6" spans="1:5" x14ac:dyDescent="0.3">
      <c r="A6">
        <v>0</v>
      </c>
      <c r="B6">
        <v>0</v>
      </c>
      <c r="C6">
        <v>0</v>
      </c>
      <c r="D6">
        <v>0</v>
      </c>
      <c r="E6">
        <v>0</v>
      </c>
    </row>
    <row r="8" spans="1:5" x14ac:dyDescent="0.3">
      <c r="A8" t="s">
        <v>37</v>
      </c>
    </row>
    <row r="9" spans="1:5" x14ac:dyDescent="0.3">
      <c r="A9">
        <v>0</v>
      </c>
      <c r="B9">
        <v>0</v>
      </c>
      <c r="C9">
        <v>0</v>
      </c>
      <c r="D9">
        <v>0</v>
      </c>
      <c r="E9">
        <v>0</v>
      </c>
    </row>
    <row r="10" spans="1:5" x14ac:dyDescent="0.3">
      <c r="A10">
        <v>0</v>
      </c>
      <c r="B10">
        <v>0</v>
      </c>
      <c r="C10">
        <v>0</v>
      </c>
      <c r="D10">
        <v>0</v>
      </c>
      <c r="E10">
        <v>0</v>
      </c>
    </row>
    <row r="11" spans="1:5" x14ac:dyDescent="0.3">
      <c r="A11">
        <v>0</v>
      </c>
      <c r="B11">
        <v>0</v>
      </c>
      <c r="C11">
        <v>0</v>
      </c>
      <c r="D11">
        <v>0</v>
      </c>
      <c r="E11">
        <v>0</v>
      </c>
    </row>
    <row r="12" spans="1:5" x14ac:dyDescent="0.3">
      <c r="A12">
        <v>0</v>
      </c>
      <c r="B12">
        <v>0</v>
      </c>
      <c r="C12">
        <v>0</v>
      </c>
      <c r="D12">
        <v>0</v>
      </c>
      <c r="E12">
        <v>0</v>
      </c>
    </row>
    <row r="13" spans="1:5" x14ac:dyDescent="0.3">
      <c r="A13">
        <v>0</v>
      </c>
      <c r="B13">
        <v>0</v>
      </c>
      <c r="C13">
        <v>0</v>
      </c>
      <c r="D13">
        <v>0</v>
      </c>
      <c r="E13">
        <v>0</v>
      </c>
    </row>
    <row r="15" spans="1:5" x14ac:dyDescent="0.3">
      <c r="A15" t="s">
        <v>38</v>
      </c>
    </row>
    <row r="16" spans="1:5" x14ac:dyDescent="0.3">
      <c r="A16">
        <v>0</v>
      </c>
      <c r="B16">
        <v>0</v>
      </c>
      <c r="C16">
        <v>0</v>
      </c>
      <c r="D16">
        <v>0</v>
      </c>
      <c r="E16">
        <v>0</v>
      </c>
    </row>
    <row r="17" spans="1:5" x14ac:dyDescent="0.3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3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3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3">
      <c r="A20">
        <v>0</v>
      </c>
      <c r="B20">
        <v>0</v>
      </c>
      <c r="C20">
        <v>0</v>
      </c>
      <c r="D20">
        <v>0</v>
      </c>
      <c r="E20">
        <v>0</v>
      </c>
    </row>
    <row r="22" spans="1:5" x14ac:dyDescent="0.3">
      <c r="A22" t="s">
        <v>39</v>
      </c>
    </row>
    <row r="23" spans="1:5" x14ac:dyDescent="0.3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3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3">
      <c r="A25">
        <v>0</v>
      </c>
      <c r="B25">
        <v>0</v>
      </c>
      <c r="C25">
        <v>0</v>
      </c>
      <c r="D25">
        <v>0</v>
      </c>
      <c r="E25">
        <v>0</v>
      </c>
    </row>
    <row r="26" spans="1:5" x14ac:dyDescent="0.3">
      <c r="A26">
        <v>0</v>
      </c>
      <c r="B26">
        <v>0</v>
      </c>
      <c r="C26">
        <v>0</v>
      </c>
      <c r="D26">
        <v>0</v>
      </c>
      <c r="E26">
        <v>0</v>
      </c>
    </row>
    <row r="27" spans="1:5" x14ac:dyDescent="0.3">
      <c r="A27">
        <v>0</v>
      </c>
      <c r="B27">
        <v>0</v>
      </c>
      <c r="C27">
        <v>0</v>
      </c>
      <c r="D27">
        <v>0</v>
      </c>
      <c r="E27">
        <v>0</v>
      </c>
    </row>
    <row r="29" spans="1:5" x14ac:dyDescent="0.3">
      <c r="A29" t="s">
        <v>40</v>
      </c>
    </row>
    <row r="30" spans="1:5" x14ac:dyDescent="0.3">
      <c r="A30">
        <v>0</v>
      </c>
      <c r="B30">
        <v>0</v>
      </c>
      <c r="C30">
        <v>0</v>
      </c>
      <c r="D30">
        <v>0</v>
      </c>
      <c r="E30">
        <v>0</v>
      </c>
    </row>
    <row r="31" spans="1:5" x14ac:dyDescent="0.3">
      <c r="A31">
        <v>0</v>
      </c>
      <c r="B31">
        <v>0</v>
      </c>
      <c r="C31">
        <v>0</v>
      </c>
      <c r="D31">
        <v>0</v>
      </c>
      <c r="E31">
        <v>0</v>
      </c>
    </row>
    <row r="32" spans="1:5" x14ac:dyDescent="0.3">
      <c r="A32">
        <v>0</v>
      </c>
      <c r="B32">
        <v>0</v>
      </c>
      <c r="C32">
        <v>0</v>
      </c>
      <c r="D32">
        <v>0</v>
      </c>
      <c r="E32">
        <v>0</v>
      </c>
    </row>
    <row r="33" spans="1:5" x14ac:dyDescent="0.3">
      <c r="A33">
        <v>0</v>
      </c>
      <c r="B33">
        <v>0</v>
      </c>
      <c r="C33">
        <v>0</v>
      </c>
      <c r="D33">
        <v>0</v>
      </c>
      <c r="E33">
        <v>0</v>
      </c>
    </row>
    <row r="34" spans="1:5" x14ac:dyDescent="0.3">
      <c r="A34">
        <v>0</v>
      </c>
      <c r="B34">
        <v>0</v>
      </c>
      <c r="C34">
        <v>0</v>
      </c>
      <c r="D34">
        <v>0</v>
      </c>
      <c r="E34">
        <v>0</v>
      </c>
    </row>
    <row r="36" spans="1:5" x14ac:dyDescent="0.3">
      <c r="A36" t="s">
        <v>36</v>
      </c>
    </row>
    <row r="37" spans="1:5" x14ac:dyDescent="0.3">
      <c r="A37">
        <v>0</v>
      </c>
      <c r="B37">
        <v>0</v>
      </c>
      <c r="C37">
        <v>0</v>
      </c>
      <c r="D37">
        <v>0</v>
      </c>
      <c r="E37">
        <v>0</v>
      </c>
    </row>
    <row r="38" spans="1:5" x14ac:dyDescent="0.3">
      <c r="A38">
        <v>0</v>
      </c>
      <c r="B38">
        <v>0</v>
      </c>
      <c r="C38">
        <v>0</v>
      </c>
      <c r="D38">
        <v>0</v>
      </c>
      <c r="E38">
        <v>0</v>
      </c>
    </row>
    <row r="39" spans="1:5" x14ac:dyDescent="0.3">
      <c r="A39">
        <v>0</v>
      </c>
      <c r="B39">
        <v>0</v>
      </c>
      <c r="C39">
        <v>0</v>
      </c>
      <c r="D39">
        <v>0</v>
      </c>
      <c r="E39">
        <v>0</v>
      </c>
    </row>
    <row r="40" spans="1:5" x14ac:dyDescent="0.3">
      <c r="A40">
        <v>0</v>
      </c>
      <c r="B40">
        <v>0</v>
      </c>
      <c r="C40">
        <v>0</v>
      </c>
      <c r="D40">
        <v>0</v>
      </c>
      <c r="E40">
        <v>0</v>
      </c>
    </row>
    <row r="41" spans="1:5" x14ac:dyDescent="0.3">
      <c r="A41">
        <v>0</v>
      </c>
      <c r="B41">
        <v>0</v>
      </c>
      <c r="C41">
        <v>0</v>
      </c>
      <c r="D41">
        <v>0</v>
      </c>
      <c r="E4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64DE-D903-4C3C-B81F-990D79D75D2E}">
  <sheetPr codeName="Sheet7"/>
  <dimension ref="A1"/>
  <sheetViews>
    <sheetView workbookViewId="0">
      <selection activeCell="D10" sqref="D10"/>
    </sheetView>
  </sheetViews>
  <sheetFormatPr defaultRowHeight="14.4" x14ac:dyDescent="0.3"/>
  <cols>
    <col min="1" max="1" width="12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09F3-2B7B-4C8E-969C-D2B82CA85496}">
  <sheetPr codeName="Sheet1"/>
  <dimension ref="G1:BM28"/>
  <sheetViews>
    <sheetView workbookViewId="0">
      <selection activeCell="AH17" sqref="AH17"/>
    </sheetView>
  </sheetViews>
  <sheetFormatPr defaultRowHeight="14.4" x14ac:dyDescent="0.3"/>
  <cols>
    <col min="8" max="34" width="3.44140625" customWidth="1"/>
    <col min="36" max="62" width="5.6640625" customWidth="1"/>
    <col min="64" max="64" width="25.6640625" customWidth="1"/>
    <col min="65" max="65" width="25.88671875" customWidth="1"/>
  </cols>
  <sheetData>
    <row r="1" spans="7:65" x14ac:dyDescent="0.3">
      <c r="H1" s="3">
        <v>1456.3169421153082</v>
      </c>
      <c r="I1" s="3">
        <v>-55512.222623119647</v>
      </c>
      <c r="J1" s="14">
        <v>-55512.222623119647</v>
      </c>
      <c r="K1" s="36">
        <v>1456.3169421153082</v>
      </c>
      <c r="L1" s="36">
        <v>0</v>
      </c>
      <c r="M1" s="37">
        <v>0</v>
      </c>
      <c r="N1" s="2">
        <v>0</v>
      </c>
      <c r="O1" s="2">
        <v>0</v>
      </c>
      <c r="P1" s="16">
        <v>0</v>
      </c>
      <c r="Q1" s="36">
        <v>1456.3169421153082</v>
      </c>
      <c r="R1" s="36">
        <v>0</v>
      </c>
      <c r="S1" s="37">
        <v>0</v>
      </c>
      <c r="T1" s="2">
        <v>0</v>
      </c>
      <c r="U1" s="2">
        <v>0</v>
      </c>
      <c r="V1" s="16">
        <v>0</v>
      </c>
      <c r="W1" s="2">
        <v>0</v>
      </c>
      <c r="X1" s="2">
        <v>0</v>
      </c>
      <c r="Y1" s="16">
        <v>0</v>
      </c>
      <c r="Z1" s="2">
        <v>0</v>
      </c>
      <c r="AA1" s="2">
        <v>0</v>
      </c>
      <c r="AB1" s="16">
        <v>0</v>
      </c>
      <c r="AC1" s="2">
        <v>0</v>
      </c>
      <c r="AD1" s="2">
        <v>0</v>
      </c>
      <c r="AE1" s="16">
        <v>0</v>
      </c>
      <c r="AF1" s="2">
        <v>0</v>
      </c>
      <c r="AG1" s="2">
        <v>0</v>
      </c>
      <c r="AH1" s="2">
        <v>0</v>
      </c>
      <c r="AJ1" s="2">
        <f t="array" ref="AJ1:BJ27">MINVERSE(H1:AH27)</f>
        <v>1.8093173472812027E-5</v>
      </c>
      <c r="AK1" s="2">
        <v>-4.5823524349967354E-6</v>
      </c>
      <c r="AL1" s="2">
        <v>-1.6993183733094209E-8</v>
      </c>
      <c r="AM1" s="2">
        <v>-4.8245051762232355E-5</v>
      </c>
      <c r="AN1" s="2">
        <v>1.2218742651830063E-5</v>
      </c>
      <c r="AO1" s="2">
        <v>4.5311953154055187E-8</v>
      </c>
      <c r="AP1" s="2">
        <v>1.8093173472812071E-5</v>
      </c>
      <c r="AQ1" s="2">
        <v>-4.5823524349967464E-6</v>
      </c>
      <c r="AR1" s="2">
        <v>-1.6993183733094238E-8</v>
      </c>
      <c r="AS1" s="2">
        <v>-4.8245051762232382E-5</v>
      </c>
      <c r="AT1" s="2">
        <v>1.2218742651830102E-5</v>
      </c>
      <c r="AU1" s="2">
        <v>4.5311953154055193E-8</v>
      </c>
      <c r="AV1" s="2">
        <v>1.8075547805845044E-5</v>
      </c>
      <c r="AW1" s="2">
        <v>-4.5778884852055989E-6</v>
      </c>
      <c r="AX1" s="2">
        <v>-1.6976629633414588E-8</v>
      </c>
      <c r="AY1" s="2">
        <v>3.618217172168698E-5</v>
      </c>
      <c r="AZ1" s="2">
        <v>-9.1636474353978675E-6</v>
      </c>
      <c r="BA1" s="2">
        <v>-3.3982446078511553E-8</v>
      </c>
      <c r="BB1" s="2">
        <v>1.8093173472812139E-5</v>
      </c>
      <c r="BC1" s="2">
        <v>-4.5823524349967583E-6</v>
      </c>
      <c r="BD1" s="2">
        <v>-1.6993183733094225E-8</v>
      </c>
      <c r="BE1" s="2">
        <v>3.6182171721687007E-5</v>
      </c>
      <c r="BF1" s="2">
        <v>-9.1636474353978404E-6</v>
      </c>
      <c r="BG1" s="2">
        <v>-3.3982446078511579E-8</v>
      </c>
      <c r="BH1" s="2">
        <v>-1.0853963686668053E-4</v>
      </c>
      <c r="BI1" s="2">
        <v>2.7489200279711568E-5</v>
      </c>
      <c r="BJ1" s="2">
        <v>1.0194087810910485E-7</v>
      </c>
      <c r="BL1" s="27" t="e">
        <f t="array" ref="BL1:BL27">MMULT(AJ1:BJ27,E1:E27)</f>
        <v>#VALUE!</v>
      </c>
      <c r="BM1" s="27">
        <v>4.5778884852018759E-4</v>
      </c>
    </row>
    <row r="2" spans="7:65" x14ac:dyDescent="0.3">
      <c r="G2">
        <v>1</v>
      </c>
      <c r="H2" s="3">
        <v>-6.9917321824815207E-2</v>
      </c>
      <c r="I2" s="3">
        <v>97107.973200126391</v>
      </c>
      <c r="J2" s="14">
        <v>0</v>
      </c>
      <c r="K2" s="36">
        <v>-6.9917321824815207E-2</v>
      </c>
      <c r="L2" s="36">
        <v>0</v>
      </c>
      <c r="M2" s="37">
        <v>0</v>
      </c>
      <c r="N2" s="2">
        <v>0</v>
      </c>
      <c r="O2" s="2">
        <v>0</v>
      </c>
      <c r="P2" s="16">
        <v>0</v>
      </c>
      <c r="Q2" s="36">
        <v>-6.9917321824815207E-2</v>
      </c>
      <c r="R2" s="36">
        <v>0</v>
      </c>
      <c r="S2" s="37">
        <v>0</v>
      </c>
      <c r="T2" s="2">
        <v>0</v>
      </c>
      <c r="U2" s="2">
        <v>0</v>
      </c>
      <c r="V2" s="16">
        <v>0</v>
      </c>
      <c r="W2" s="2">
        <v>0</v>
      </c>
      <c r="X2" s="2">
        <v>0</v>
      </c>
      <c r="Y2" s="16">
        <v>0</v>
      </c>
      <c r="Z2" s="2">
        <v>0</v>
      </c>
      <c r="AA2" s="2">
        <v>0</v>
      </c>
      <c r="AB2" s="16">
        <v>0</v>
      </c>
      <c r="AC2" s="2">
        <v>0</v>
      </c>
      <c r="AD2" s="2">
        <v>0</v>
      </c>
      <c r="AE2" s="16">
        <v>0</v>
      </c>
      <c r="AF2" s="2">
        <v>0</v>
      </c>
      <c r="AG2" s="2">
        <v>0</v>
      </c>
      <c r="AH2" s="2">
        <v>0</v>
      </c>
      <c r="AJ2" s="2">
        <v>-9.1175077210363918E-11</v>
      </c>
      <c r="AK2" s="2">
        <v>1.0297838677944634E-5</v>
      </c>
      <c r="AL2" s="2">
        <v>8.5632011500517295E-14</v>
      </c>
      <c r="AM2" s="2">
        <v>1.6661500760873027E-21</v>
      </c>
      <c r="AN2" s="2">
        <v>-8.330750380436513E-23</v>
      </c>
      <c r="AO2" s="2">
        <v>-2.4406495255185097E-24</v>
      </c>
      <c r="AP2" s="2">
        <v>6.6646003043492104E-22</v>
      </c>
      <c r="AQ2" s="2">
        <v>1.6661500760873026E-22</v>
      </c>
      <c r="AR2" s="2">
        <v>-6.5083987347160258E-25</v>
      </c>
      <c r="AS2" s="2">
        <v>4.998450228261908E-22</v>
      </c>
      <c r="AT2" s="2">
        <v>0</v>
      </c>
      <c r="AU2" s="2">
        <v>1.6270996836790064E-25</v>
      </c>
      <c r="AV2" s="2">
        <v>-6.6646003043492104E-22</v>
      </c>
      <c r="AW2" s="2">
        <v>0</v>
      </c>
      <c r="AX2" s="2">
        <v>6.5083987347160258E-25</v>
      </c>
      <c r="AY2" s="2">
        <v>9.996900456523816E-22</v>
      </c>
      <c r="AZ2" s="2">
        <v>2.0826875951091284E-22</v>
      </c>
      <c r="BA2" s="2">
        <v>-1.6270996836790064E-25</v>
      </c>
      <c r="BB2" s="2">
        <v>-1.3329200608698421E-21</v>
      </c>
      <c r="BC2" s="2">
        <v>0</v>
      </c>
      <c r="BD2" s="2">
        <v>-1.3016797469432052E-24</v>
      </c>
      <c r="BE2" s="2">
        <v>1.6661500760873026E-22</v>
      </c>
      <c r="BF2" s="2">
        <v>4.1653751902182565E-23</v>
      </c>
      <c r="BG2" s="2">
        <v>1.6270996836790064E-25</v>
      </c>
      <c r="BH2" s="2">
        <v>0</v>
      </c>
      <c r="BI2" s="2">
        <v>0</v>
      </c>
      <c r="BJ2" s="2">
        <v>0</v>
      </c>
      <c r="BL2" s="27" t="e">
        <v>#VALUE!</v>
      </c>
      <c r="BM2" s="27">
        <v>-2.034688163746785E-22</v>
      </c>
    </row>
    <row r="3" spans="7:65" x14ac:dyDescent="0.3">
      <c r="H3" s="8">
        <v>9958625.2343221083</v>
      </c>
      <c r="I3" s="8">
        <v>-85291564.782531545</v>
      </c>
      <c r="J3" s="15">
        <v>-59105597.25341019</v>
      </c>
      <c r="K3" s="38">
        <v>9958625.2343221083</v>
      </c>
      <c r="L3" s="38">
        <v>0</v>
      </c>
      <c r="M3" s="39">
        <v>0</v>
      </c>
      <c r="N3" s="9">
        <v>0</v>
      </c>
      <c r="O3" s="9">
        <v>0</v>
      </c>
      <c r="P3" s="17">
        <v>0</v>
      </c>
      <c r="Q3" s="38">
        <v>9958625.2343221083</v>
      </c>
      <c r="R3" s="38">
        <v>0</v>
      </c>
      <c r="S3" s="39">
        <v>0</v>
      </c>
      <c r="T3" s="9">
        <v>0</v>
      </c>
      <c r="U3" s="9">
        <v>0</v>
      </c>
      <c r="V3" s="17">
        <v>0</v>
      </c>
      <c r="W3" s="9">
        <v>0</v>
      </c>
      <c r="X3" s="9">
        <v>0</v>
      </c>
      <c r="Y3" s="17">
        <v>0</v>
      </c>
      <c r="Z3" s="9">
        <v>0</v>
      </c>
      <c r="AA3" s="9">
        <v>0</v>
      </c>
      <c r="AB3" s="17">
        <v>0</v>
      </c>
      <c r="AC3" s="9">
        <v>0</v>
      </c>
      <c r="AD3" s="9">
        <v>0</v>
      </c>
      <c r="AE3" s="17">
        <v>0</v>
      </c>
      <c r="AF3" s="9">
        <v>0</v>
      </c>
      <c r="AG3" s="9">
        <v>0</v>
      </c>
      <c r="AH3" s="9">
        <v>0</v>
      </c>
      <c r="AJ3" s="2">
        <v>-2.1336066001807166E-5</v>
      </c>
      <c r="AK3" s="2">
        <v>-9.4564681946283752E-6</v>
      </c>
      <c r="AL3" s="2">
        <v>3.1200504582203964E-9</v>
      </c>
      <c r="AM3" s="2">
        <v>-6.1867715498865451E-21</v>
      </c>
      <c r="AN3" s="2">
        <v>1.3404671691420848E-21</v>
      </c>
      <c r="AO3" s="2">
        <v>1.8528091881170644E-23</v>
      </c>
      <c r="AP3" s="2">
        <v>-8.2490287331820595E-22</v>
      </c>
      <c r="AQ3" s="2">
        <v>-1.0311285916477576E-21</v>
      </c>
      <c r="AR3" s="2">
        <v>-1.53058150322714E-23</v>
      </c>
      <c r="AS3" s="2">
        <v>-8.2490287331820595E-22</v>
      </c>
      <c r="AT3" s="2">
        <v>4.4338529440853572E-21</v>
      </c>
      <c r="AU3" s="2">
        <v>4.0278460611240525E-25</v>
      </c>
      <c r="AV3" s="2">
        <v>-1.6498057466364119E-21</v>
      </c>
      <c r="AW3" s="2">
        <v>2.6809343382841697E-21</v>
      </c>
      <c r="AX3" s="2">
        <v>8.055692122248105E-25</v>
      </c>
      <c r="AY3" s="2">
        <v>-2.474708619954618E-21</v>
      </c>
      <c r="AZ3" s="2">
        <v>-4.6400786624149084E-21</v>
      </c>
      <c r="BA3" s="2">
        <v>0</v>
      </c>
      <c r="BB3" s="2">
        <v>-4.1245143665910303E-21</v>
      </c>
      <c r="BC3" s="2">
        <v>3.0933857749432725E-21</v>
      </c>
      <c r="BD3" s="2">
        <v>1.2083538183372158E-23</v>
      </c>
      <c r="BE3" s="2">
        <v>6.5992229865456476E-21</v>
      </c>
      <c r="BF3" s="2">
        <v>5.5680943948978906E-21</v>
      </c>
      <c r="BG3" s="2">
        <v>-1.611138424449621E-24</v>
      </c>
      <c r="BH3" s="2">
        <v>-5.7743201132274418E-21</v>
      </c>
      <c r="BI3" s="2">
        <v>4.5369658032501328E-21</v>
      </c>
      <c r="BJ3" s="2">
        <v>3.222276848899242E-24</v>
      </c>
      <c r="BL3" s="27" t="e">
        <v>#VALUE!</v>
      </c>
      <c r="BM3" s="27">
        <v>-3.977443476743096E-18</v>
      </c>
    </row>
    <row r="4" spans="7:65" x14ac:dyDescent="0.3">
      <c r="H4" s="40">
        <v>2182.7588058503261</v>
      </c>
      <c r="I4" s="40">
        <v>0</v>
      </c>
      <c r="J4" s="41">
        <v>0</v>
      </c>
      <c r="K4" s="4">
        <v>2182.7588058503261</v>
      </c>
      <c r="L4" s="4">
        <v>-55512.222623119647</v>
      </c>
      <c r="M4" s="18">
        <v>-55512.222623119647</v>
      </c>
      <c r="N4" s="40">
        <v>2182.7588058503261</v>
      </c>
      <c r="O4" s="40">
        <v>0</v>
      </c>
      <c r="P4" s="41">
        <v>0</v>
      </c>
      <c r="Q4" s="2">
        <v>0</v>
      </c>
      <c r="R4" s="2">
        <v>0</v>
      </c>
      <c r="S4" s="16">
        <v>0</v>
      </c>
      <c r="T4" s="32">
        <v>2182.7588058503261</v>
      </c>
      <c r="U4" s="32">
        <v>0</v>
      </c>
      <c r="V4" s="33">
        <v>0</v>
      </c>
      <c r="W4" s="2">
        <v>0</v>
      </c>
      <c r="X4" s="2">
        <v>0</v>
      </c>
      <c r="Y4" s="16">
        <v>0</v>
      </c>
      <c r="Z4" s="2">
        <v>0</v>
      </c>
      <c r="AA4" s="2">
        <v>0</v>
      </c>
      <c r="AB4" s="16">
        <v>0</v>
      </c>
      <c r="AC4" s="2">
        <v>0</v>
      </c>
      <c r="AD4" s="2">
        <v>0</v>
      </c>
      <c r="AE4" s="16">
        <v>0</v>
      </c>
      <c r="AF4" s="2">
        <v>0</v>
      </c>
      <c r="AG4" s="2">
        <v>0</v>
      </c>
      <c r="AH4" s="2">
        <v>0</v>
      </c>
      <c r="AJ4" s="2">
        <v>-7.2362991906152357E-5</v>
      </c>
      <c r="AK4" s="2">
        <v>1.8326952574852518E-5</v>
      </c>
      <c r="AL4" s="2">
        <v>6.7963622787646572E-8</v>
      </c>
      <c r="AM4" s="2">
        <v>2.4122525881116181E-5</v>
      </c>
      <c r="AN4" s="2">
        <v>-6.1093713259150238E-6</v>
      </c>
      <c r="AO4" s="2">
        <v>-2.2655976577027557E-8</v>
      </c>
      <c r="AP4" s="2">
        <v>-7.2362991906152371E-5</v>
      </c>
      <c r="AQ4" s="2">
        <v>1.8326952574852531E-5</v>
      </c>
      <c r="AR4" s="2">
        <v>6.7963622787646585E-8</v>
      </c>
      <c r="AS4" s="2">
        <v>2.4122525881116184E-5</v>
      </c>
      <c r="AT4" s="2">
        <v>-6.109371325915034E-6</v>
      </c>
      <c r="AU4" s="2">
        <v>-2.265597657702759E-8</v>
      </c>
      <c r="AV4" s="2">
        <v>-9.0377739029225287E-6</v>
      </c>
      <c r="AW4" s="2">
        <v>2.2889442426028122E-6</v>
      </c>
      <c r="AX4" s="2">
        <v>8.4883148167073021E-9</v>
      </c>
      <c r="AY4" s="2">
        <v>2.4122525881116215E-5</v>
      </c>
      <c r="AZ4" s="2">
        <v>-6.1093713259150501E-6</v>
      </c>
      <c r="BA4" s="2">
        <v>-2.2655976577027616E-8</v>
      </c>
      <c r="BB4" s="2">
        <v>5.4269818433340202E-5</v>
      </c>
      <c r="BC4" s="2">
        <v>-1.3744600139855779E-5</v>
      </c>
      <c r="BD4" s="2">
        <v>-5.0970439054552386E-8</v>
      </c>
      <c r="BE4" s="2">
        <v>-6.0304697602803164E-5</v>
      </c>
      <c r="BF4" s="2">
        <v>1.5273018761312891E-5</v>
      </c>
      <c r="BG4" s="2">
        <v>5.6638422655539169E-8</v>
      </c>
      <c r="BH4" s="2">
        <v>5.4269818433340236E-5</v>
      </c>
      <c r="BI4" s="2">
        <v>-1.3744600139855765E-5</v>
      </c>
      <c r="BJ4" s="2">
        <v>-5.0970439054552413E-8</v>
      </c>
      <c r="BL4" s="27" t="e">
        <v>#VALUE!</v>
      </c>
      <c r="BM4" s="27">
        <v>-2.2889442426019498E-4</v>
      </c>
    </row>
    <row r="5" spans="7:65" x14ac:dyDescent="0.3">
      <c r="G5">
        <v>2</v>
      </c>
      <c r="H5" s="40">
        <v>-6.9917321824815207E-2</v>
      </c>
      <c r="I5" s="40">
        <v>0</v>
      </c>
      <c r="J5" s="41">
        <v>0</v>
      </c>
      <c r="K5" s="4">
        <v>-6.9917321824815207E-2</v>
      </c>
      <c r="L5" s="4">
        <v>97107.973200126391</v>
      </c>
      <c r="M5" s="18">
        <v>0</v>
      </c>
      <c r="N5" s="40">
        <v>-6.9917321824815207E-2</v>
      </c>
      <c r="O5" s="40">
        <v>0</v>
      </c>
      <c r="P5" s="41">
        <v>0</v>
      </c>
      <c r="Q5" s="2">
        <v>0</v>
      </c>
      <c r="R5" s="2">
        <v>0</v>
      </c>
      <c r="S5" s="16">
        <v>0</v>
      </c>
      <c r="T5" s="32">
        <v>-50.069917321824818</v>
      </c>
      <c r="U5" s="32">
        <v>0</v>
      </c>
      <c r="V5" s="33">
        <v>0</v>
      </c>
      <c r="W5" s="2">
        <v>0</v>
      </c>
      <c r="X5" s="2">
        <v>0</v>
      </c>
      <c r="Y5" s="16">
        <v>0</v>
      </c>
      <c r="Z5" s="2">
        <v>0</v>
      </c>
      <c r="AA5" s="2">
        <v>0</v>
      </c>
      <c r="AB5" s="16">
        <v>0</v>
      </c>
      <c r="AC5" s="2">
        <v>0</v>
      </c>
      <c r="AD5" s="2">
        <v>0</v>
      </c>
      <c r="AE5" s="16">
        <v>0</v>
      </c>
      <c r="AF5" s="2">
        <v>0</v>
      </c>
      <c r="AG5" s="2">
        <v>0</v>
      </c>
      <c r="AH5" s="2">
        <v>0</v>
      </c>
      <c r="AJ5" s="2">
        <v>1.8646984619541626E-8</v>
      </c>
      <c r="AK5" s="2">
        <v>-4.7226129515141097E-9</v>
      </c>
      <c r="AL5" s="2">
        <v>-1.7513325464112323E-11</v>
      </c>
      <c r="AM5" s="2">
        <v>-6.2768426711508602E-9</v>
      </c>
      <c r="AN5" s="2">
        <v>1.0299405285870203E-5</v>
      </c>
      <c r="AO5" s="2">
        <v>5.8952367275409942E-12</v>
      </c>
      <c r="AP5" s="2">
        <v>1.8646984619548289E-8</v>
      </c>
      <c r="AQ5" s="2">
        <v>-4.7226129515151097E-9</v>
      </c>
      <c r="AR5" s="2">
        <v>-1.7513325464117532E-11</v>
      </c>
      <c r="AS5" s="2">
        <v>-6.2160554344302386E-9</v>
      </c>
      <c r="AT5" s="2">
        <v>1.5743040765545394E-9</v>
      </c>
      <c r="AU5" s="2">
        <v>5.8381451021356379E-12</v>
      </c>
      <c r="AV5" s="2">
        <v>-1.3975361547203246E-8</v>
      </c>
      <c r="AW5" s="2">
        <v>3.5394582444078231E-9</v>
      </c>
      <c r="AX5" s="2">
        <v>1.3125717656161011E-11</v>
      </c>
      <c r="AY5" s="2">
        <v>-6.2160554344322379E-9</v>
      </c>
      <c r="AZ5" s="2">
        <v>1.5743040765535398E-9</v>
      </c>
      <c r="BA5" s="2">
        <v>5.8381451021323841E-12</v>
      </c>
      <c r="BB5" s="2">
        <v>1.8646984619542959E-8</v>
      </c>
      <c r="BC5" s="2">
        <v>-4.7226129515167757E-9</v>
      </c>
      <c r="BD5" s="2">
        <v>-1.7513325464121435E-11</v>
      </c>
      <c r="BE5" s="2">
        <v>-6.216055434428906E-9</v>
      </c>
      <c r="BF5" s="2">
        <v>1.5743040765532064E-9</v>
      </c>
      <c r="BG5" s="2">
        <v>5.8381451021330352E-12</v>
      </c>
      <c r="BH5" s="2">
        <v>1.8646984619545626E-8</v>
      </c>
      <c r="BI5" s="2">
        <v>-4.7226129515167757E-9</v>
      </c>
      <c r="BJ5" s="2">
        <v>-1.751332546411623E-11</v>
      </c>
      <c r="BL5" s="27" t="e">
        <v>#VALUE!</v>
      </c>
      <c r="BM5" s="27">
        <v>-3.5394582444050844E-7</v>
      </c>
    </row>
    <row r="6" spans="7:65" x14ac:dyDescent="0.3">
      <c r="H6" s="42">
        <v>14935301.508988207</v>
      </c>
      <c r="I6" s="42">
        <v>0</v>
      </c>
      <c r="J6" s="43">
        <v>0</v>
      </c>
      <c r="K6" s="10">
        <v>14935301.508988207</v>
      </c>
      <c r="L6" s="10">
        <v>-85291564.782531545</v>
      </c>
      <c r="M6" s="19">
        <v>-59105597.25341019</v>
      </c>
      <c r="N6" s="42">
        <v>14935301.508988207</v>
      </c>
      <c r="O6" s="42">
        <v>0</v>
      </c>
      <c r="P6" s="43">
        <v>0</v>
      </c>
      <c r="Q6" s="9">
        <v>0</v>
      </c>
      <c r="R6" s="9">
        <v>0</v>
      </c>
      <c r="S6" s="17">
        <v>0</v>
      </c>
      <c r="T6" s="34">
        <v>14935301.508988207</v>
      </c>
      <c r="U6" s="34">
        <v>0</v>
      </c>
      <c r="V6" s="35">
        <v>0</v>
      </c>
      <c r="W6" s="9">
        <v>0</v>
      </c>
      <c r="X6" s="9">
        <v>0</v>
      </c>
      <c r="Y6" s="17">
        <v>0</v>
      </c>
      <c r="Z6" s="9">
        <v>0</v>
      </c>
      <c r="AA6" s="9">
        <v>0</v>
      </c>
      <c r="AB6" s="17">
        <v>0</v>
      </c>
      <c r="AC6" s="9">
        <v>0</v>
      </c>
      <c r="AD6" s="9">
        <v>0</v>
      </c>
      <c r="AE6" s="17">
        <v>0</v>
      </c>
      <c r="AF6" s="9">
        <v>0</v>
      </c>
      <c r="AG6" s="9">
        <v>0</v>
      </c>
      <c r="AH6" s="9">
        <v>0</v>
      </c>
      <c r="AJ6" s="2">
        <v>-1.7124558472349687E-8</v>
      </c>
      <c r="AK6" s="2">
        <v>4.3370369676674401E-9</v>
      </c>
      <c r="AL6" s="2">
        <v>1.608345649842285E-11</v>
      </c>
      <c r="AM6" s="2">
        <v>-2.1327987620582752E-5</v>
      </c>
      <c r="AN6" s="2">
        <v>-9.4585141590873049E-6</v>
      </c>
      <c r="AO6" s="2">
        <v>3.1124632089952376E-9</v>
      </c>
      <c r="AP6" s="2">
        <v>-1.7124558472351335E-8</v>
      </c>
      <c r="AQ6" s="2">
        <v>4.3370369676682648E-9</v>
      </c>
      <c r="AR6" s="2">
        <v>1.6083456498427684E-11</v>
      </c>
      <c r="AS6" s="2">
        <v>5.70854789265052E-9</v>
      </c>
      <c r="AT6" s="2">
        <v>-1.4457706037810474E-9</v>
      </c>
      <c r="AU6" s="2">
        <v>-5.3614919093545459E-12</v>
      </c>
      <c r="AV6" s="2">
        <v>1.2834348334065107E-8</v>
      </c>
      <c r="AW6" s="2">
        <v>-3.2504804880454583E-9</v>
      </c>
      <c r="AX6" s="2">
        <v>-1.2054073303563852E-11</v>
      </c>
      <c r="AY6" s="2">
        <v>5.7085478926496953E-9</v>
      </c>
      <c r="AZ6" s="2">
        <v>-1.4457706037864092E-9</v>
      </c>
      <c r="BA6" s="2">
        <v>-5.3614919093569628E-12</v>
      </c>
      <c r="BB6" s="2">
        <v>-1.7124558472338137E-8</v>
      </c>
      <c r="BC6" s="2">
        <v>4.3370369676612528E-9</v>
      </c>
      <c r="BD6" s="2">
        <v>1.6083456498442182E-11</v>
      </c>
      <c r="BE6" s="2">
        <v>5.70854789265052E-9</v>
      </c>
      <c r="BF6" s="2">
        <v>-1.4457706037870279E-9</v>
      </c>
      <c r="BG6" s="2">
        <v>-5.3614919093537405E-12</v>
      </c>
      <c r="BH6" s="2">
        <v>-1.7124558472354634E-8</v>
      </c>
      <c r="BI6" s="2">
        <v>4.3370369676670273E-9</v>
      </c>
      <c r="BJ6" s="2">
        <v>1.6083456498435739E-11</v>
      </c>
      <c r="BL6" s="27" t="e">
        <v>#VALUE!</v>
      </c>
      <c r="BM6" s="27">
        <v>3.2504804878771505E-7</v>
      </c>
    </row>
    <row r="7" spans="7:65" x14ac:dyDescent="0.3">
      <c r="H7" s="2">
        <v>0</v>
      </c>
      <c r="I7" s="2">
        <v>0</v>
      </c>
      <c r="J7" s="16">
        <v>0</v>
      </c>
      <c r="K7" s="36">
        <v>1456.3169421153082</v>
      </c>
      <c r="L7" s="36">
        <v>0</v>
      </c>
      <c r="M7" s="37">
        <v>0</v>
      </c>
      <c r="N7" s="5">
        <v>1456.3169421153082</v>
      </c>
      <c r="O7" s="5">
        <v>-55512.222623119647</v>
      </c>
      <c r="P7" s="20">
        <v>-55512.222623119647</v>
      </c>
      <c r="Q7" s="2">
        <v>0</v>
      </c>
      <c r="R7" s="2">
        <v>0</v>
      </c>
      <c r="S7" s="16">
        <v>0</v>
      </c>
      <c r="T7" s="2">
        <v>0</v>
      </c>
      <c r="U7" s="2">
        <v>0</v>
      </c>
      <c r="V7" s="16">
        <v>0</v>
      </c>
      <c r="W7" s="36">
        <v>1456.3169421153082</v>
      </c>
      <c r="X7" s="36">
        <v>0</v>
      </c>
      <c r="Y7" s="37">
        <v>0</v>
      </c>
      <c r="Z7" s="2">
        <v>0</v>
      </c>
      <c r="AA7" s="2">
        <v>0</v>
      </c>
      <c r="AB7" s="16">
        <v>0</v>
      </c>
      <c r="AC7" s="2">
        <v>0</v>
      </c>
      <c r="AD7" s="2">
        <v>0</v>
      </c>
      <c r="AE7" s="16">
        <v>0</v>
      </c>
      <c r="AF7" s="2">
        <v>0</v>
      </c>
      <c r="AG7" s="2">
        <v>0</v>
      </c>
      <c r="AH7" s="2">
        <v>0</v>
      </c>
      <c r="AJ7" s="2">
        <v>1.8093173472812132E-5</v>
      </c>
      <c r="AK7" s="2">
        <v>-4.582352434996743E-6</v>
      </c>
      <c r="AL7" s="2">
        <v>-1.6993183733094195E-8</v>
      </c>
      <c r="AM7" s="2">
        <v>-4.8245051762232395E-5</v>
      </c>
      <c r="AN7" s="2">
        <v>1.2218742651830078E-5</v>
      </c>
      <c r="AO7" s="2">
        <v>4.5311953154055127E-8</v>
      </c>
      <c r="AP7" s="2">
        <v>1.8093173472812105E-5</v>
      </c>
      <c r="AQ7" s="2">
        <v>-4.5823524349967397E-6</v>
      </c>
      <c r="AR7" s="2">
        <v>-1.6993183733094175E-8</v>
      </c>
      <c r="AS7" s="2">
        <v>3.6182171721687028E-5</v>
      </c>
      <c r="AT7" s="2">
        <v>-9.1636474353978557E-6</v>
      </c>
      <c r="AU7" s="2">
        <v>-3.3982446078511612E-8</v>
      </c>
      <c r="AV7" s="2">
        <v>1.807554780584503E-5</v>
      </c>
      <c r="AW7" s="2">
        <v>-4.5778884852056142E-6</v>
      </c>
      <c r="AX7" s="2">
        <v>-1.6976629633414604E-8</v>
      </c>
      <c r="AY7" s="2">
        <v>-4.8245051762232362E-5</v>
      </c>
      <c r="AZ7" s="2">
        <v>1.2218742651830093E-5</v>
      </c>
      <c r="BA7" s="2">
        <v>4.5311953154055127E-8</v>
      </c>
      <c r="BB7" s="2">
        <v>-1.0853963686668053E-4</v>
      </c>
      <c r="BC7" s="2">
        <v>2.7489200279711554E-5</v>
      </c>
      <c r="BD7" s="2">
        <v>1.0194087810910488E-7</v>
      </c>
      <c r="BE7" s="2">
        <v>3.6182171721687021E-5</v>
      </c>
      <c r="BF7" s="2">
        <v>-9.1636474353978675E-6</v>
      </c>
      <c r="BG7" s="2">
        <v>-3.3982446078511599E-8</v>
      </c>
      <c r="BH7" s="2">
        <v>1.8093173472812081E-5</v>
      </c>
      <c r="BI7" s="2">
        <v>-4.5823524349967651E-6</v>
      </c>
      <c r="BJ7" s="2">
        <v>-1.6993183733094185E-8</v>
      </c>
      <c r="BL7" s="27" t="e">
        <v>#VALUE!</v>
      </c>
      <c r="BM7" s="27">
        <v>4.5778884852052895E-4</v>
      </c>
    </row>
    <row r="8" spans="7:65" x14ac:dyDescent="0.3">
      <c r="G8">
        <v>3</v>
      </c>
      <c r="H8" s="2">
        <v>0</v>
      </c>
      <c r="I8" s="2">
        <v>0</v>
      </c>
      <c r="J8" s="16">
        <v>0</v>
      </c>
      <c r="K8" s="36">
        <v>-6.9917321824815207E-2</v>
      </c>
      <c r="L8" s="36">
        <v>0</v>
      </c>
      <c r="M8" s="37">
        <v>0</v>
      </c>
      <c r="N8" s="5">
        <v>-6.9917321824815207E-2</v>
      </c>
      <c r="O8" s="5">
        <v>97107.973200126391</v>
      </c>
      <c r="P8" s="20">
        <v>0</v>
      </c>
      <c r="Q8" s="2">
        <v>0</v>
      </c>
      <c r="R8" s="2">
        <v>0</v>
      </c>
      <c r="S8" s="16">
        <v>0</v>
      </c>
      <c r="T8" s="2">
        <v>0</v>
      </c>
      <c r="U8" s="2">
        <v>0</v>
      </c>
      <c r="V8" s="16">
        <v>0</v>
      </c>
      <c r="W8" s="36">
        <v>-6.9917321824815207E-2</v>
      </c>
      <c r="X8" s="36">
        <v>0</v>
      </c>
      <c r="Y8" s="37">
        <v>0</v>
      </c>
      <c r="Z8" s="2">
        <v>0</v>
      </c>
      <c r="AA8" s="2">
        <v>0</v>
      </c>
      <c r="AB8" s="16">
        <v>0</v>
      </c>
      <c r="AC8" s="2">
        <v>0</v>
      </c>
      <c r="AD8" s="2">
        <v>0</v>
      </c>
      <c r="AE8" s="16">
        <v>0</v>
      </c>
      <c r="AF8" s="2">
        <v>0</v>
      </c>
      <c r="AG8" s="2">
        <v>0</v>
      </c>
      <c r="AH8" s="2">
        <v>0</v>
      </c>
      <c r="AJ8" s="2">
        <v>2.6658401217396841E-21</v>
      </c>
      <c r="AK8" s="2">
        <v>6.6646003043492104E-22</v>
      </c>
      <c r="AL8" s="2">
        <v>0</v>
      </c>
      <c r="AM8" s="2">
        <v>-1.3329200608698421E-21</v>
      </c>
      <c r="AN8" s="2">
        <v>-1.6661500760873026E-22</v>
      </c>
      <c r="AO8" s="2">
        <v>1.3016797469432052E-24</v>
      </c>
      <c r="AP8" s="2">
        <v>-9.1175077209364231E-11</v>
      </c>
      <c r="AQ8" s="2">
        <v>1.0297838677944634E-5</v>
      </c>
      <c r="AR8" s="2">
        <v>8.5632011502144393E-14</v>
      </c>
      <c r="AS8" s="2">
        <v>1.3329200608698421E-21</v>
      </c>
      <c r="AT8" s="2">
        <v>-3.3323001521746052E-22</v>
      </c>
      <c r="AU8" s="2">
        <v>0</v>
      </c>
      <c r="AV8" s="2">
        <v>0</v>
      </c>
      <c r="AW8" s="2">
        <v>-8.330750380436513E-23</v>
      </c>
      <c r="AX8" s="2">
        <v>-1.3016797469432052E-24</v>
      </c>
      <c r="AY8" s="2">
        <v>-1.3329200608698421E-21</v>
      </c>
      <c r="AZ8" s="2">
        <v>3.3323001521746052E-22</v>
      </c>
      <c r="BA8" s="2">
        <v>-6.5083987347160258E-25</v>
      </c>
      <c r="BB8" s="2">
        <v>6.6646003043492104E-22</v>
      </c>
      <c r="BC8" s="2">
        <v>-8.330750380436513E-23</v>
      </c>
      <c r="BD8" s="2">
        <v>-1.6270996836790066E-24</v>
      </c>
      <c r="BE8" s="2">
        <v>6.6646003043492104E-22</v>
      </c>
      <c r="BF8" s="2">
        <v>0</v>
      </c>
      <c r="BG8" s="2">
        <v>0</v>
      </c>
      <c r="BH8" s="2">
        <v>1.9993800913047632E-21</v>
      </c>
      <c r="BI8" s="2">
        <v>4.998450228261908E-22</v>
      </c>
      <c r="BJ8" s="2">
        <v>-6.5083987347160258E-25</v>
      </c>
      <c r="BL8" s="27" t="e">
        <v>#VALUE!</v>
      </c>
      <c r="BM8" s="27">
        <v>-1.0895321773861675E-24</v>
      </c>
    </row>
    <row r="9" spans="7:65" x14ac:dyDescent="0.3">
      <c r="H9" s="9">
        <v>0</v>
      </c>
      <c r="I9" s="9">
        <v>0</v>
      </c>
      <c r="J9" s="17">
        <v>0</v>
      </c>
      <c r="K9" s="38">
        <v>9958625.2343221083</v>
      </c>
      <c r="L9" s="38">
        <v>0</v>
      </c>
      <c r="M9" s="39">
        <v>0</v>
      </c>
      <c r="N9" s="11">
        <v>9958625.2343221083</v>
      </c>
      <c r="O9" s="11">
        <v>-85291564.782531545</v>
      </c>
      <c r="P9" s="21">
        <v>-59105597.25341019</v>
      </c>
      <c r="Q9" s="9">
        <v>0</v>
      </c>
      <c r="R9" s="9">
        <v>0</v>
      </c>
      <c r="S9" s="17">
        <v>0</v>
      </c>
      <c r="T9" s="9">
        <v>0</v>
      </c>
      <c r="U9" s="9">
        <v>0</v>
      </c>
      <c r="V9" s="17">
        <v>0</v>
      </c>
      <c r="W9" s="38">
        <v>9958625.2343221083</v>
      </c>
      <c r="X9" s="38">
        <v>0</v>
      </c>
      <c r="Y9" s="39">
        <v>0</v>
      </c>
      <c r="Z9" s="9">
        <v>0</v>
      </c>
      <c r="AA9" s="9">
        <v>0</v>
      </c>
      <c r="AB9" s="17">
        <v>0</v>
      </c>
      <c r="AC9" s="9">
        <v>0</v>
      </c>
      <c r="AD9" s="9">
        <v>0</v>
      </c>
      <c r="AE9" s="17">
        <v>0</v>
      </c>
      <c r="AF9" s="9">
        <v>0</v>
      </c>
      <c r="AG9" s="9">
        <v>0</v>
      </c>
      <c r="AH9" s="9">
        <v>0</v>
      </c>
      <c r="AJ9" s="2">
        <v>-3.2996114932728238E-21</v>
      </c>
      <c r="AK9" s="2">
        <v>-8.2490287331820595E-22</v>
      </c>
      <c r="AL9" s="2">
        <v>-3.222276848899242E-24</v>
      </c>
      <c r="AM9" s="2">
        <v>8.2490287331820595E-22</v>
      </c>
      <c r="AN9" s="2">
        <v>1.4435800283068605E-21</v>
      </c>
      <c r="AO9" s="2">
        <v>-8.0556921222481061E-24</v>
      </c>
      <c r="AP9" s="2">
        <v>-2.1336066001807169E-5</v>
      </c>
      <c r="AQ9" s="2">
        <v>-9.4564681946283752E-6</v>
      </c>
      <c r="AR9" s="2">
        <v>3.1200504582204088E-9</v>
      </c>
      <c r="AS9" s="2">
        <v>-2.474708619954618E-21</v>
      </c>
      <c r="AT9" s="2">
        <v>-4.1245143665910297E-22</v>
      </c>
      <c r="AU9" s="2">
        <v>-4.027846061124053E-24</v>
      </c>
      <c r="AV9" s="2">
        <v>-4.5369658032501328E-21</v>
      </c>
      <c r="AW9" s="2">
        <v>2.0622571832955149E-22</v>
      </c>
      <c r="AX9" s="2">
        <v>-8.055692122248105E-25</v>
      </c>
      <c r="AY9" s="2">
        <v>4.9494172399092361E-21</v>
      </c>
      <c r="AZ9" s="2">
        <v>8.2490287331820595E-22</v>
      </c>
      <c r="BA9" s="2">
        <v>-4.8334152733488634E-24</v>
      </c>
      <c r="BB9" s="2">
        <v>-7.4241258598638541E-21</v>
      </c>
      <c r="BC9" s="2">
        <v>-4.4338529440853572E-21</v>
      </c>
      <c r="BD9" s="2">
        <v>-4.0278460611240525E-25</v>
      </c>
      <c r="BE9" s="2">
        <v>1.6498057466364119E-21</v>
      </c>
      <c r="BF9" s="2">
        <v>-5.7743201132274418E-21</v>
      </c>
      <c r="BG9" s="2">
        <v>0</v>
      </c>
      <c r="BH9" s="2">
        <v>-6.5992229865456476E-21</v>
      </c>
      <c r="BI9" s="2">
        <v>-2.0622571832955152E-21</v>
      </c>
      <c r="BJ9" s="2">
        <v>8.8612613344729157E-24</v>
      </c>
      <c r="BL9" s="27" t="e">
        <v>#VALUE!</v>
      </c>
      <c r="BM9" s="27">
        <v>-8.7311970325457256E-19</v>
      </c>
    </row>
    <row r="10" spans="7:65" x14ac:dyDescent="0.3">
      <c r="H10" s="40">
        <v>2182.7588058503261</v>
      </c>
      <c r="I10" s="40">
        <v>0</v>
      </c>
      <c r="J10" s="41">
        <v>0</v>
      </c>
      <c r="K10" s="2">
        <v>0</v>
      </c>
      <c r="L10" s="2">
        <v>0</v>
      </c>
      <c r="M10" s="16">
        <v>0</v>
      </c>
      <c r="N10" s="2">
        <v>0</v>
      </c>
      <c r="O10" s="2">
        <v>0</v>
      </c>
      <c r="P10" s="16">
        <v>0</v>
      </c>
      <c r="Q10" s="6">
        <v>2182.7588058503261</v>
      </c>
      <c r="R10" s="6">
        <v>-55512.222623119647</v>
      </c>
      <c r="S10" s="22">
        <v>-55512.222623119647</v>
      </c>
      <c r="T10" s="28">
        <v>2182.7588058503261</v>
      </c>
      <c r="U10" s="28">
        <v>0</v>
      </c>
      <c r="V10" s="29">
        <v>0</v>
      </c>
      <c r="W10" s="2">
        <v>0</v>
      </c>
      <c r="X10" s="2">
        <v>0</v>
      </c>
      <c r="Y10" s="16">
        <v>0</v>
      </c>
      <c r="Z10" s="40">
        <v>2182.7588058503261</v>
      </c>
      <c r="AA10" s="40">
        <v>0</v>
      </c>
      <c r="AB10" s="41">
        <v>0</v>
      </c>
      <c r="AC10" s="2">
        <v>0</v>
      </c>
      <c r="AD10" s="2">
        <v>0</v>
      </c>
      <c r="AE10" s="16">
        <v>0</v>
      </c>
      <c r="AF10" s="2">
        <v>0</v>
      </c>
      <c r="AG10" s="2">
        <v>0</v>
      </c>
      <c r="AH10" s="2">
        <v>0</v>
      </c>
      <c r="AJ10" s="2">
        <v>-7.2362991906152276E-5</v>
      </c>
      <c r="AK10" s="2">
        <v>1.8326952574852531E-5</v>
      </c>
      <c r="AL10" s="2">
        <v>6.7963622787646625E-8</v>
      </c>
      <c r="AM10" s="2">
        <v>2.4122525881116133E-5</v>
      </c>
      <c r="AN10" s="2">
        <v>-6.1093713259150314E-6</v>
      </c>
      <c r="AO10" s="2">
        <v>-2.2655976577027544E-8</v>
      </c>
      <c r="AP10" s="2">
        <v>5.4269818433340297E-5</v>
      </c>
      <c r="AQ10" s="2">
        <v>-1.3744600139855792E-5</v>
      </c>
      <c r="AR10" s="2">
        <v>-5.0970439054552446E-8</v>
      </c>
      <c r="AS10" s="2">
        <v>2.4122525881116198E-5</v>
      </c>
      <c r="AT10" s="2">
        <v>-6.1093713259150408E-6</v>
      </c>
      <c r="AU10" s="2">
        <v>-2.26559765770276E-8</v>
      </c>
      <c r="AV10" s="2">
        <v>-9.0377739029225219E-6</v>
      </c>
      <c r="AW10" s="2">
        <v>2.2889442426028016E-6</v>
      </c>
      <c r="AX10" s="2">
        <v>8.4883148167072905E-9</v>
      </c>
      <c r="AY10" s="2">
        <v>-6.0304697602803198E-5</v>
      </c>
      <c r="AZ10" s="2">
        <v>1.5273018761312891E-5</v>
      </c>
      <c r="BA10" s="2">
        <v>5.6638422655539169E-8</v>
      </c>
      <c r="BB10" s="2">
        <v>-7.2362991906152385E-5</v>
      </c>
      <c r="BC10" s="2">
        <v>1.8326952574852558E-5</v>
      </c>
      <c r="BD10" s="2">
        <v>6.7963622787646677E-8</v>
      </c>
      <c r="BE10" s="2">
        <v>2.4122525881116191E-5</v>
      </c>
      <c r="BF10" s="2">
        <v>-6.1093713259150187E-6</v>
      </c>
      <c r="BG10" s="2">
        <v>-2.265597657702759E-8</v>
      </c>
      <c r="BH10" s="2">
        <v>5.4269818433340256E-5</v>
      </c>
      <c r="BI10" s="2">
        <v>-1.3744600139855777E-5</v>
      </c>
      <c r="BJ10" s="2">
        <v>-5.0970439054552432E-8</v>
      </c>
      <c r="BL10" s="27" t="e">
        <v>#VALUE!</v>
      </c>
      <c r="BM10" s="27">
        <v>-2.2889442426018446E-4</v>
      </c>
    </row>
    <row r="11" spans="7:65" x14ac:dyDescent="0.3">
      <c r="G11">
        <v>4</v>
      </c>
      <c r="H11" s="40">
        <v>-6.9917321824815207E-2</v>
      </c>
      <c r="I11" s="40">
        <v>0</v>
      </c>
      <c r="J11" s="41">
        <v>0</v>
      </c>
      <c r="K11" s="2">
        <v>0</v>
      </c>
      <c r="L11" s="2">
        <v>0</v>
      </c>
      <c r="M11" s="16">
        <v>0</v>
      </c>
      <c r="N11" s="2">
        <v>0</v>
      </c>
      <c r="O11" s="2">
        <v>0</v>
      </c>
      <c r="P11" s="16">
        <v>0</v>
      </c>
      <c r="Q11" s="6">
        <v>-6.9917321824815207E-2</v>
      </c>
      <c r="R11" s="6">
        <v>97107.973200126391</v>
      </c>
      <c r="S11" s="22">
        <v>0</v>
      </c>
      <c r="T11" s="28">
        <v>-50.069917321824818</v>
      </c>
      <c r="U11" s="28">
        <v>0</v>
      </c>
      <c r="V11" s="29">
        <v>0</v>
      </c>
      <c r="W11" s="2">
        <v>0</v>
      </c>
      <c r="X11" s="2">
        <v>0</v>
      </c>
      <c r="Y11" s="16">
        <v>0</v>
      </c>
      <c r="Z11" s="40">
        <v>-6.9917321824815207E-2</v>
      </c>
      <c r="AA11" s="40">
        <v>0</v>
      </c>
      <c r="AB11" s="41">
        <v>0</v>
      </c>
      <c r="AC11" s="2">
        <v>0</v>
      </c>
      <c r="AD11" s="2">
        <v>0</v>
      </c>
      <c r="AE11" s="16">
        <v>0</v>
      </c>
      <c r="AF11" s="2">
        <v>0</v>
      </c>
      <c r="AG11" s="2">
        <v>0</v>
      </c>
      <c r="AH11" s="2">
        <v>0</v>
      </c>
      <c r="AJ11" s="2">
        <v>1.8646984619548081E-8</v>
      </c>
      <c r="AK11" s="2">
        <v>-4.7226129515162694E-9</v>
      </c>
      <c r="AL11" s="2">
        <v>-1.7513325464121186E-11</v>
      </c>
      <c r="AM11" s="2">
        <v>-6.2160554344296083E-9</v>
      </c>
      <c r="AN11" s="2">
        <v>1.5743040765532499E-9</v>
      </c>
      <c r="AO11" s="2">
        <v>5.8381451021341249E-12</v>
      </c>
      <c r="AP11" s="2">
        <v>1.8646984619548094E-8</v>
      </c>
      <c r="AQ11" s="2">
        <v>-4.7226129515162727E-9</v>
      </c>
      <c r="AR11" s="2">
        <v>-1.7513325464121196E-11</v>
      </c>
      <c r="AS11" s="2">
        <v>-6.2768426711576927E-9</v>
      </c>
      <c r="AT11" s="2">
        <v>1.0299405285870205E-5</v>
      </c>
      <c r="AU11" s="2">
        <v>5.8952367275418941E-12</v>
      </c>
      <c r="AV11" s="2">
        <v>-1.397536154720486E-8</v>
      </c>
      <c r="AW11" s="2">
        <v>3.5394582444049739E-9</v>
      </c>
      <c r="AX11" s="2">
        <v>1.3125717656160911E-11</v>
      </c>
      <c r="AY11" s="2">
        <v>-6.2160554344296141E-9</v>
      </c>
      <c r="AZ11" s="2">
        <v>1.5743040765532579E-9</v>
      </c>
      <c r="BA11" s="2">
        <v>5.8381451021341346E-12</v>
      </c>
      <c r="BB11" s="2">
        <v>1.8646984619548101E-8</v>
      </c>
      <c r="BC11" s="2">
        <v>-4.7226129515162769E-9</v>
      </c>
      <c r="BD11" s="2">
        <v>-1.7513325464121225E-11</v>
      </c>
      <c r="BE11" s="2">
        <v>-6.2160554344296223E-9</v>
      </c>
      <c r="BF11" s="2">
        <v>1.5743040765532521E-9</v>
      </c>
      <c r="BG11" s="2">
        <v>5.8381451021341273E-12</v>
      </c>
      <c r="BH11" s="2">
        <v>1.8646984619548088E-8</v>
      </c>
      <c r="BI11" s="2">
        <v>-4.7226129515162769E-9</v>
      </c>
      <c r="BJ11" s="2">
        <v>-1.7513325464121222E-11</v>
      </c>
      <c r="BL11" s="27" t="e">
        <v>#VALUE!</v>
      </c>
      <c r="BM11" s="27">
        <v>-3.5394582444050892E-7</v>
      </c>
    </row>
    <row r="12" spans="7:65" x14ac:dyDescent="0.3">
      <c r="H12" s="42">
        <v>14935301.508988207</v>
      </c>
      <c r="I12" s="42">
        <v>0</v>
      </c>
      <c r="J12" s="43">
        <v>0</v>
      </c>
      <c r="K12" s="9">
        <v>0</v>
      </c>
      <c r="L12" s="9">
        <v>0</v>
      </c>
      <c r="M12" s="17">
        <v>0</v>
      </c>
      <c r="N12" s="9">
        <v>0</v>
      </c>
      <c r="O12" s="9">
        <v>0</v>
      </c>
      <c r="P12" s="17">
        <v>0</v>
      </c>
      <c r="Q12" s="12">
        <v>14935301.508988207</v>
      </c>
      <c r="R12" s="12">
        <v>-85291564.782531545</v>
      </c>
      <c r="S12" s="23">
        <v>-59105597.25341019</v>
      </c>
      <c r="T12" s="30">
        <v>14935301.508988207</v>
      </c>
      <c r="U12" s="30">
        <v>0</v>
      </c>
      <c r="V12" s="31">
        <v>0</v>
      </c>
      <c r="W12" s="9">
        <v>0</v>
      </c>
      <c r="X12" s="9">
        <v>0</v>
      </c>
      <c r="Y12" s="17">
        <v>0</v>
      </c>
      <c r="Z12" s="42">
        <v>14935301.508988207</v>
      </c>
      <c r="AA12" s="42">
        <v>0</v>
      </c>
      <c r="AB12" s="43">
        <v>0</v>
      </c>
      <c r="AC12" s="9">
        <v>0</v>
      </c>
      <c r="AD12" s="9">
        <v>0</v>
      </c>
      <c r="AE12" s="17">
        <v>0</v>
      </c>
      <c r="AF12" s="9">
        <v>0</v>
      </c>
      <c r="AG12" s="9">
        <v>0</v>
      </c>
      <c r="AH12" s="9">
        <v>0</v>
      </c>
      <c r="AJ12" s="2">
        <v>-1.7124558472356699E-8</v>
      </c>
      <c r="AK12" s="2">
        <v>4.3370369676720367E-9</v>
      </c>
      <c r="AL12" s="2">
        <v>1.6083456498444399E-11</v>
      </c>
      <c r="AM12" s="2">
        <v>5.7085478926543572E-9</v>
      </c>
      <c r="AN12" s="2">
        <v>-1.4457706037883257E-9</v>
      </c>
      <c r="AO12" s="2">
        <v>-5.3614919093435623E-12</v>
      </c>
      <c r="AP12" s="2">
        <v>-1.7124558472340119E-8</v>
      </c>
      <c r="AQ12" s="2">
        <v>4.33703696766656E-9</v>
      </c>
      <c r="AR12" s="2">
        <v>1.6083456498433988E-11</v>
      </c>
      <c r="AS12" s="2">
        <v>-2.1327987620582739E-5</v>
      </c>
      <c r="AT12" s="2">
        <v>-9.4585141590873032E-6</v>
      </c>
      <c r="AU12" s="2">
        <v>3.1124632089952397E-9</v>
      </c>
      <c r="AV12" s="2">
        <v>1.2834348334068738E-8</v>
      </c>
      <c r="AW12" s="2">
        <v>-3.2504804880444938E-9</v>
      </c>
      <c r="AX12" s="2">
        <v>-1.2054073303562044E-11</v>
      </c>
      <c r="AY12" s="2">
        <v>5.7085478926365935E-9</v>
      </c>
      <c r="AZ12" s="2">
        <v>-1.4457706037883257E-9</v>
      </c>
      <c r="BA12" s="2">
        <v>-5.3614919093389369E-12</v>
      </c>
      <c r="BB12" s="2">
        <v>-1.7124558472336565E-8</v>
      </c>
      <c r="BC12" s="2">
        <v>4.3370369676664119E-9</v>
      </c>
      <c r="BD12" s="2">
        <v>1.6083456498437458E-11</v>
      </c>
      <c r="BE12" s="2">
        <v>5.708547892643699E-9</v>
      </c>
      <c r="BF12" s="2">
        <v>-1.4457706037853651E-9</v>
      </c>
      <c r="BG12" s="2">
        <v>-5.3614919093528148E-12</v>
      </c>
      <c r="BH12" s="2">
        <v>-1.7124558472344264E-8</v>
      </c>
      <c r="BI12" s="2">
        <v>4.3370369676635995E-9</v>
      </c>
      <c r="BJ12" s="2">
        <v>1.6083456498431096E-11</v>
      </c>
      <c r="BL12" s="27" t="e">
        <v>#VALUE!</v>
      </c>
      <c r="BM12" s="27">
        <v>3.2504804878697718E-7</v>
      </c>
    </row>
    <row r="13" spans="7:65" x14ac:dyDescent="0.3">
      <c r="H13" s="2">
        <v>0</v>
      </c>
      <c r="I13" s="2">
        <v>0</v>
      </c>
      <c r="J13" s="16">
        <v>0</v>
      </c>
      <c r="K13" s="32">
        <v>2909.2006695853443</v>
      </c>
      <c r="L13" s="32">
        <v>0</v>
      </c>
      <c r="M13" s="33">
        <v>0</v>
      </c>
      <c r="N13" s="2">
        <v>0</v>
      </c>
      <c r="O13" s="2">
        <v>0</v>
      </c>
      <c r="P13" s="16">
        <v>0</v>
      </c>
      <c r="Q13" s="28">
        <v>2909.2006695853443</v>
      </c>
      <c r="R13" s="28">
        <v>0</v>
      </c>
      <c r="S13" s="29">
        <v>0</v>
      </c>
      <c r="T13" s="7">
        <v>2909.2006695853443</v>
      </c>
      <c r="U13" s="7">
        <v>-55512.222623119647</v>
      </c>
      <c r="V13" s="24">
        <v>-55512.222623119647</v>
      </c>
      <c r="W13" s="28">
        <v>2909.2006695853443</v>
      </c>
      <c r="X13" s="28">
        <v>0</v>
      </c>
      <c r="Y13" s="29">
        <v>0</v>
      </c>
      <c r="Z13" s="2">
        <v>0</v>
      </c>
      <c r="AA13" s="2">
        <v>0</v>
      </c>
      <c r="AB13" s="16">
        <v>0</v>
      </c>
      <c r="AC13" s="32">
        <v>2909.2006695853443</v>
      </c>
      <c r="AD13" s="32">
        <v>0</v>
      </c>
      <c r="AE13" s="33">
        <v>0</v>
      </c>
      <c r="AF13" s="2">
        <v>0</v>
      </c>
      <c r="AG13" s="2">
        <v>0</v>
      </c>
      <c r="AH13" s="2">
        <v>0</v>
      </c>
      <c r="AJ13" s="2">
        <v>3.6215363512016385E-5</v>
      </c>
      <c r="AK13" s="2">
        <v>-9.1720537263929647E-6</v>
      </c>
      <c r="AL13" s="2">
        <v>-3.4013619945956347E-8</v>
      </c>
      <c r="AM13" s="2">
        <v>-1.207255284228196E-5</v>
      </c>
      <c r="AN13" s="2">
        <v>3.0575449904675777E-6</v>
      </c>
      <c r="AO13" s="2">
        <v>1.1338591811141284E-8</v>
      </c>
      <c r="AP13" s="2">
        <v>3.6215363512016412E-5</v>
      </c>
      <c r="AQ13" s="2">
        <v>-9.1720537263929732E-6</v>
      </c>
      <c r="AR13" s="2">
        <v>-3.401361994595636E-8</v>
      </c>
      <c r="AS13" s="2">
        <v>-1.2072552842281954E-5</v>
      </c>
      <c r="AT13" s="2">
        <v>3.0575449904675862E-6</v>
      </c>
      <c r="AU13" s="2">
        <v>1.1338591811141296E-8</v>
      </c>
      <c r="AV13" s="2">
        <v>-2.7142340113977409E-5</v>
      </c>
      <c r="AW13" s="2">
        <v>6.874182049914515E-6</v>
      </c>
      <c r="AX13" s="2">
        <v>2.5492198656915047E-8</v>
      </c>
      <c r="AY13" s="2">
        <v>-1.2072552842281972E-5</v>
      </c>
      <c r="AZ13" s="2">
        <v>3.0575449904675938E-6</v>
      </c>
      <c r="BA13" s="2">
        <v>1.1338591811141304E-8</v>
      </c>
      <c r="BB13" s="2">
        <v>3.6215363512016418E-5</v>
      </c>
      <c r="BC13" s="2">
        <v>-9.17205372639298E-6</v>
      </c>
      <c r="BD13" s="2">
        <v>-3.401361994595642E-8</v>
      </c>
      <c r="BE13" s="2">
        <v>-1.2072552842281988E-5</v>
      </c>
      <c r="BF13" s="2">
        <v>3.0575449904675824E-6</v>
      </c>
      <c r="BG13" s="2">
        <v>1.1338591811141289E-8</v>
      </c>
      <c r="BH13" s="2">
        <v>3.6215363512016398E-5</v>
      </c>
      <c r="BI13" s="2">
        <v>-9.17205372639298E-6</v>
      </c>
      <c r="BJ13" s="2">
        <v>-3.4013619945956413E-8</v>
      </c>
      <c r="BL13" s="27" t="e">
        <v>#VALUE!</v>
      </c>
      <c r="BM13" s="27">
        <v>-6.874182049914732E-4</v>
      </c>
    </row>
    <row r="14" spans="7:65" x14ac:dyDescent="0.3">
      <c r="G14">
        <v>5</v>
      </c>
      <c r="H14" s="2">
        <v>0</v>
      </c>
      <c r="I14" s="2">
        <v>0</v>
      </c>
      <c r="J14" s="16">
        <v>0</v>
      </c>
      <c r="K14" s="32">
        <v>49.930082678175182</v>
      </c>
      <c r="L14" s="32">
        <v>0</v>
      </c>
      <c r="M14" s="33">
        <v>0</v>
      </c>
      <c r="N14" s="2">
        <v>0</v>
      </c>
      <c r="O14" s="2">
        <v>0</v>
      </c>
      <c r="P14" s="16">
        <v>0</v>
      </c>
      <c r="Q14" s="28">
        <v>49.930082678175182</v>
      </c>
      <c r="R14" s="28">
        <v>0</v>
      </c>
      <c r="S14" s="29">
        <v>0</v>
      </c>
      <c r="T14" s="7">
        <v>-6.9917321824817691E-2</v>
      </c>
      <c r="U14" s="7">
        <v>97107.973200126362</v>
      </c>
      <c r="V14" s="24">
        <v>0</v>
      </c>
      <c r="W14" s="28">
        <v>49.930082678175182</v>
      </c>
      <c r="X14" s="28">
        <v>0</v>
      </c>
      <c r="Y14" s="29">
        <v>0</v>
      </c>
      <c r="Z14" s="2">
        <v>0</v>
      </c>
      <c r="AA14" s="2">
        <v>0</v>
      </c>
      <c r="AB14" s="16">
        <v>0</v>
      </c>
      <c r="AC14" s="32">
        <v>49.930082678175182</v>
      </c>
      <c r="AD14" s="32">
        <v>0</v>
      </c>
      <c r="AE14" s="33">
        <v>0</v>
      </c>
      <c r="AF14" s="2">
        <v>0</v>
      </c>
      <c r="AG14" s="2">
        <v>0</v>
      </c>
      <c r="AH14" s="2">
        <v>0</v>
      </c>
      <c r="AJ14" s="2">
        <v>1.8632037271677556E-8</v>
      </c>
      <c r="AK14" s="2">
        <v>-4.7188273239692716E-9</v>
      </c>
      <c r="AL14" s="2">
        <v>-1.7499286852869933E-11</v>
      </c>
      <c r="AM14" s="2">
        <v>-6.2110726693951207E-9</v>
      </c>
      <c r="AN14" s="2">
        <v>1.573042120737533E-9</v>
      </c>
      <c r="AO14" s="2">
        <v>5.8334652685020022E-12</v>
      </c>
      <c r="AP14" s="2">
        <v>1.8632037271677569E-8</v>
      </c>
      <c r="AQ14" s="2">
        <v>-4.7188273239692774E-9</v>
      </c>
      <c r="AR14" s="2">
        <v>-1.749928685286994E-11</v>
      </c>
      <c r="AS14" s="2">
        <v>-6.2110726693951224E-9</v>
      </c>
      <c r="AT14" s="2">
        <v>1.5730421207375379E-9</v>
      </c>
      <c r="AU14" s="2">
        <v>5.833465268502007E-12</v>
      </c>
      <c r="AV14" s="2">
        <v>1.8568294792369609E-8</v>
      </c>
      <c r="AW14" s="2">
        <v>1.0293112902926725E-5</v>
      </c>
      <c r="AX14" s="2">
        <v>-1.7439419651347205E-11</v>
      </c>
      <c r="AY14" s="2">
        <v>-6.2110726693951224E-9</v>
      </c>
      <c r="AZ14" s="2">
        <v>1.5730421207375402E-9</v>
      </c>
      <c r="BA14" s="2">
        <v>5.8334652685020135E-12</v>
      </c>
      <c r="BB14" s="2">
        <v>1.8632037271677589E-8</v>
      </c>
      <c r="BC14" s="2">
        <v>-4.7188273239692807E-9</v>
      </c>
      <c r="BD14" s="2">
        <v>-1.7499286852869982E-11</v>
      </c>
      <c r="BE14" s="2">
        <v>-6.2110726693951364E-9</v>
      </c>
      <c r="BF14" s="2">
        <v>1.573042120737539E-9</v>
      </c>
      <c r="BG14" s="2">
        <v>5.8334652685020135E-12</v>
      </c>
      <c r="BH14" s="2">
        <v>1.8632037271677579E-8</v>
      </c>
      <c r="BI14" s="2">
        <v>-4.7188273239692807E-9</v>
      </c>
      <c r="BJ14" s="2">
        <v>-1.7499286852869979E-11</v>
      </c>
      <c r="BL14" s="27" t="e">
        <v>#VALUE!</v>
      </c>
      <c r="BM14" s="27">
        <v>-1.0293112902926725E-3</v>
      </c>
    </row>
    <row r="15" spans="7:65" x14ac:dyDescent="0.3">
      <c r="H15" s="9">
        <v>0</v>
      </c>
      <c r="I15" s="9">
        <v>0</v>
      </c>
      <c r="J15" s="17">
        <v>0</v>
      </c>
      <c r="K15" s="34">
        <v>19911977.783654306</v>
      </c>
      <c r="L15" s="34">
        <v>0</v>
      </c>
      <c r="M15" s="35">
        <v>0</v>
      </c>
      <c r="N15" s="9">
        <v>0</v>
      </c>
      <c r="O15" s="9">
        <v>0</v>
      </c>
      <c r="P15" s="17">
        <v>0</v>
      </c>
      <c r="Q15" s="30">
        <v>19911977.783654306</v>
      </c>
      <c r="R15" s="30">
        <v>0</v>
      </c>
      <c r="S15" s="31">
        <v>0</v>
      </c>
      <c r="T15" s="13">
        <v>19911977.783654306</v>
      </c>
      <c r="U15" s="13">
        <v>-85291564.782531545</v>
      </c>
      <c r="V15" s="25">
        <v>-59105597.25341019</v>
      </c>
      <c r="W15" s="30">
        <v>19911977.783654306</v>
      </c>
      <c r="X15" s="30">
        <v>0</v>
      </c>
      <c r="Y15" s="31">
        <v>0</v>
      </c>
      <c r="Z15" s="9">
        <v>0</v>
      </c>
      <c r="AA15" s="9">
        <v>0</v>
      </c>
      <c r="AB15" s="17">
        <v>0</v>
      </c>
      <c r="AC15" s="34">
        <v>19911977.783654306</v>
      </c>
      <c r="AD15" s="34">
        <v>0</v>
      </c>
      <c r="AE15" s="35">
        <v>0</v>
      </c>
      <c r="AF15" s="9">
        <v>0</v>
      </c>
      <c r="AG15" s="9">
        <v>0</v>
      </c>
      <c r="AH15" s="9">
        <v>0</v>
      </c>
      <c r="AJ15" s="2">
        <v>-1.7111380911899662E-8</v>
      </c>
      <c r="AK15" s="2">
        <v>4.3336995638506698E-9</v>
      </c>
      <c r="AL15" s="2">
        <v>1.6071080078893345E-11</v>
      </c>
      <c r="AM15" s="2">
        <v>5.7041550941434082E-9</v>
      </c>
      <c r="AN15" s="2">
        <v>-1.4446580653484761E-9</v>
      </c>
      <c r="AO15" s="2">
        <v>-5.3573661747343398E-12</v>
      </c>
      <c r="AP15" s="2">
        <v>-1.7111380911899682E-8</v>
      </c>
      <c r="AQ15" s="2">
        <v>4.3336995638506731E-9</v>
      </c>
      <c r="AR15" s="2">
        <v>1.6071080078893345E-11</v>
      </c>
      <c r="AS15" s="2">
        <v>5.7041550941434065E-9</v>
      </c>
      <c r="AT15" s="2">
        <v>-1.4446580653484796E-9</v>
      </c>
      <c r="AU15" s="2">
        <v>-5.3573661747343422E-12</v>
      </c>
      <c r="AV15" s="2">
        <v>-2.1349605850840482E-5</v>
      </c>
      <c r="AW15" s="2">
        <v>-9.4530390360962675E-6</v>
      </c>
      <c r="AX15" s="2">
        <v>3.1327671407132466E-9</v>
      </c>
      <c r="AY15" s="2">
        <v>5.7041550941434156E-9</v>
      </c>
      <c r="AZ15" s="2">
        <v>-1.4446580653484825E-9</v>
      </c>
      <c r="BA15" s="2">
        <v>-5.3573661747343494E-12</v>
      </c>
      <c r="BB15" s="2">
        <v>-1.7111380911899689E-8</v>
      </c>
      <c r="BC15" s="2">
        <v>4.3336995638506764E-9</v>
      </c>
      <c r="BD15" s="2">
        <v>1.6071080078893384E-11</v>
      </c>
      <c r="BE15" s="2">
        <v>5.7041550941434247E-9</v>
      </c>
      <c r="BF15" s="2">
        <v>-1.4446580653484838E-9</v>
      </c>
      <c r="BG15" s="2">
        <v>-5.3573661747343494E-12</v>
      </c>
      <c r="BH15" s="2">
        <v>-1.7111380911899682E-8</v>
      </c>
      <c r="BI15" s="2">
        <v>4.3336995638506764E-9</v>
      </c>
      <c r="BJ15" s="2">
        <v>1.6071080078893381E-11</v>
      </c>
      <c r="BL15" s="27" t="e">
        <v>#VALUE!</v>
      </c>
      <c r="BM15" s="27">
        <v>9.4530390360962797E-4</v>
      </c>
    </row>
    <row r="16" spans="7:65" x14ac:dyDescent="0.3">
      <c r="H16" s="2">
        <v>0</v>
      </c>
      <c r="I16" s="2">
        <v>0</v>
      </c>
      <c r="J16" s="16">
        <v>0</v>
      </c>
      <c r="K16" s="2">
        <v>0</v>
      </c>
      <c r="L16" s="2">
        <v>0</v>
      </c>
      <c r="M16" s="16">
        <v>0</v>
      </c>
      <c r="N16" s="40">
        <v>2182.7588058503261</v>
      </c>
      <c r="O16" s="40">
        <v>0</v>
      </c>
      <c r="P16" s="41">
        <v>0</v>
      </c>
      <c r="Q16" s="2">
        <v>0</v>
      </c>
      <c r="R16" s="2">
        <v>0</v>
      </c>
      <c r="S16" s="16">
        <v>0</v>
      </c>
      <c r="T16" s="28">
        <v>2182.7588058503261</v>
      </c>
      <c r="U16" s="28">
        <v>0</v>
      </c>
      <c r="V16" s="29">
        <v>0</v>
      </c>
      <c r="W16" s="6">
        <v>2182.7588058503261</v>
      </c>
      <c r="X16" s="6">
        <v>-55512.222623119647</v>
      </c>
      <c r="Y16" s="22">
        <v>-55512.222623119647</v>
      </c>
      <c r="Z16" s="2">
        <v>0</v>
      </c>
      <c r="AA16" s="2">
        <v>0</v>
      </c>
      <c r="AB16" s="16">
        <v>0</v>
      </c>
      <c r="AC16" s="2">
        <v>0</v>
      </c>
      <c r="AD16" s="2">
        <v>0</v>
      </c>
      <c r="AE16" s="16">
        <v>0</v>
      </c>
      <c r="AF16" s="40">
        <v>2182.7588058503261</v>
      </c>
      <c r="AG16" s="40">
        <v>0</v>
      </c>
      <c r="AH16" s="40">
        <v>0</v>
      </c>
      <c r="AJ16" s="2">
        <v>5.4269818433340209E-5</v>
      </c>
      <c r="AK16" s="2">
        <v>-1.3744600139855775E-5</v>
      </c>
      <c r="AL16" s="2">
        <v>-5.0970439054552399E-8</v>
      </c>
      <c r="AM16" s="2">
        <v>2.4122525881116218E-5</v>
      </c>
      <c r="AN16" s="2">
        <v>-6.1093713259150501E-6</v>
      </c>
      <c r="AO16" s="2">
        <v>-2.265597657702761E-8</v>
      </c>
      <c r="AP16" s="2">
        <v>-7.2362991906152357E-5</v>
      </c>
      <c r="AQ16" s="2">
        <v>1.8326952574852538E-5</v>
      </c>
      <c r="AR16" s="2">
        <v>6.7963622787646664E-8</v>
      </c>
      <c r="AS16" s="2">
        <v>-6.0304697602803212E-5</v>
      </c>
      <c r="AT16" s="2">
        <v>1.5273018761312888E-5</v>
      </c>
      <c r="AU16" s="2">
        <v>5.6638422655539182E-8</v>
      </c>
      <c r="AV16" s="2">
        <v>-9.0377739029225168E-6</v>
      </c>
      <c r="AW16" s="2">
        <v>2.2889442426028084E-6</v>
      </c>
      <c r="AX16" s="2">
        <v>8.4883148167072971E-9</v>
      </c>
      <c r="AY16" s="2">
        <v>2.4122525881116154E-5</v>
      </c>
      <c r="AZ16" s="2">
        <v>-6.1093713259150323E-6</v>
      </c>
      <c r="BA16" s="2">
        <v>-2.2655976577027557E-8</v>
      </c>
      <c r="BB16" s="2">
        <v>5.4269818433340276E-5</v>
      </c>
      <c r="BC16" s="2">
        <v>-1.3744600139855803E-5</v>
      </c>
      <c r="BD16" s="2">
        <v>-5.0970439054552485E-8</v>
      </c>
      <c r="BE16" s="2">
        <v>2.4122525881116167E-5</v>
      </c>
      <c r="BF16" s="2">
        <v>-6.1093713259150602E-6</v>
      </c>
      <c r="BG16" s="2">
        <v>-2.265597657702758E-8</v>
      </c>
      <c r="BH16" s="2">
        <v>-7.2362991906152344E-5</v>
      </c>
      <c r="BI16" s="2">
        <v>1.8326952574852518E-5</v>
      </c>
      <c r="BJ16" s="2">
        <v>6.7963622787646638E-8</v>
      </c>
      <c r="BL16" s="27" t="e">
        <v>#VALUE!</v>
      </c>
      <c r="BM16" s="27">
        <v>-2.2889442426035284E-4</v>
      </c>
    </row>
    <row r="17" spans="7:65" x14ac:dyDescent="0.3">
      <c r="G17">
        <v>6</v>
      </c>
      <c r="H17" s="2">
        <v>0</v>
      </c>
      <c r="I17" s="2">
        <v>0</v>
      </c>
      <c r="J17" s="16">
        <v>0</v>
      </c>
      <c r="K17" s="2">
        <v>0</v>
      </c>
      <c r="L17" s="2">
        <v>0</v>
      </c>
      <c r="M17" s="16">
        <v>0</v>
      </c>
      <c r="N17" s="40">
        <v>-6.9917321824815207E-2</v>
      </c>
      <c r="O17" s="40">
        <v>0</v>
      </c>
      <c r="P17" s="41">
        <v>0</v>
      </c>
      <c r="Q17" s="2">
        <v>0</v>
      </c>
      <c r="R17" s="2">
        <v>0</v>
      </c>
      <c r="S17" s="16">
        <v>0</v>
      </c>
      <c r="T17" s="28">
        <v>-50.069917321824818</v>
      </c>
      <c r="U17" s="28">
        <v>0</v>
      </c>
      <c r="V17" s="29">
        <v>0</v>
      </c>
      <c r="W17" s="6">
        <v>-6.9917321824815207E-2</v>
      </c>
      <c r="X17" s="6">
        <v>97107.973200126391</v>
      </c>
      <c r="Y17" s="22">
        <v>0</v>
      </c>
      <c r="Z17" s="2">
        <v>0</v>
      </c>
      <c r="AA17" s="2">
        <v>0</v>
      </c>
      <c r="AB17" s="16">
        <v>0</v>
      </c>
      <c r="AC17" s="2">
        <v>0</v>
      </c>
      <c r="AD17" s="2">
        <v>0</v>
      </c>
      <c r="AE17" s="16">
        <v>0</v>
      </c>
      <c r="AF17" s="40">
        <v>-6.9917321824815207E-2</v>
      </c>
      <c r="AG17" s="40">
        <v>0</v>
      </c>
      <c r="AH17" s="40">
        <v>0</v>
      </c>
      <c r="AJ17" s="2">
        <v>1.8646984619548081E-8</v>
      </c>
      <c r="AK17" s="2">
        <v>-4.7226129515162686E-9</v>
      </c>
      <c r="AL17" s="2">
        <v>-1.7513325464121189E-11</v>
      </c>
      <c r="AM17" s="2">
        <v>-6.2160554344296099E-9</v>
      </c>
      <c r="AN17" s="2">
        <v>1.5743040765532505E-9</v>
      </c>
      <c r="AO17" s="2">
        <v>5.8381451021341217E-12</v>
      </c>
      <c r="AP17" s="2">
        <v>1.8646984619548088E-8</v>
      </c>
      <c r="AQ17" s="2">
        <v>-4.7226129515162727E-9</v>
      </c>
      <c r="AR17" s="2">
        <v>-1.7513325464121189E-11</v>
      </c>
      <c r="AS17" s="2">
        <v>-6.216055434429605E-9</v>
      </c>
      <c r="AT17" s="2">
        <v>1.5743040765532544E-9</v>
      </c>
      <c r="AU17" s="2">
        <v>5.8381451021341305E-12</v>
      </c>
      <c r="AV17" s="2">
        <v>-1.3975361547204862E-8</v>
      </c>
      <c r="AW17" s="2">
        <v>3.5394582444049747E-9</v>
      </c>
      <c r="AX17" s="2">
        <v>1.3125717656160911E-11</v>
      </c>
      <c r="AY17" s="2">
        <v>-6.2768426711577002E-9</v>
      </c>
      <c r="AZ17" s="2">
        <v>1.0299405285870207E-5</v>
      </c>
      <c r="BA17" s="2">
        <v>5.8952367275418973E-12</v>
      </c>
      <c r="BB17" s="2">
        <v>1.8646984619548104E-8</v>
      </c>
      <c r="BC17" s="2">
        <v>-4.7226129515162744E-9</v>
      </c>
      <c r="BD17" s="2">
        <v>-1.7513325464121228E-11</v>
      </c>
      <c r="BE17" s="2">
        <v>-6.2160554344296182E-9</v>
      </c>
      <c r="BF17" s="2">
        <v>1.5743040765532554E-9</v>
      </c>
      <c r="BG17" s="2">
        <v>5.838145102134133E-12</v>
      </c>
      <c r="BH17" s="2">
        <v>1.8646984619548094E-8</v>
      </c>
      <c r="BI17" s="2">
        <v>-4.7226129515162752E-9</v>
      </c>
      <c r="BJ17" s="2">
        <v>-1.7513325464121225E-11</v>
      </c>
      <c r="BL17" s="27" t="e">
        <v>#VALUE!</v>
      </c>
      <c r="BM17" s="27">
        <v>-3.5394582444050743E-7</v>
      </c>
    </row>
    <row r="18" spans="7:65" x14ac:dyDescent="0.3">
      <c r="H18" s="9">
        <v>0</v>
      </c>
      <c r="I18" s="9">
        <v>0</v>
      </c>
      <c r="J18" s="17">
        <v>0</v>
      </c>
      <c r="K18" s="9">
        <v>0</v>
      </c>
      <c r="L18" s="9">
        <v>0</v>
      </c>
      <c r="M18" s="17">
        <v>0</v>
      </c>
      <c r="N18" s="42">
        <v>14935301.508988207</v>
      </c>
      <c r="O18" s="42">
        <v>0</v>
      </c>
      <c r="P18" s="43">
        <v>0</v>
      </c>
      <c r="Q18" s="9">
        <v>0</v>
      </c>
      <c r="R18" s="9">
        <v>0</v>
      </c>
      <c r="S18" s="17">
        <v>0</v>
      </c>
      <c r="T18" s="30">
        <v>14935301.508988207</v>
      </c>
      <c r="U18" s="30">
        <v>0</v>
      </c>
      <c r="V18" s="31">
        <v>0</v>
      </c>
      <c r="W18" s="12">
        <v>14935301.508988207</v>
      </c>
      <c r="X18" s="12">
        <v>-85291564.782531545</v>
      </c>
      <c r="Y18" s="23">
        <v>-59105597.25341019</v>
      </c>
      <c r="Z18" s="9">
        <v>0</v>
      </c>
      <c r="AA18" s="9">
        <v>0</v>
      </c>
      <c r="AB18" s="17">
        <v>0</v>
      </c>
      <c r="AC18" s="9">
        <v>0</v>
      </c>
      <c r="AD18" s="9">
        <v>0</v>
      </c>
      <c r="AE18" s="17">
        <v>0</v>
      </c>
      <c r="AF18" s="42">
        <v>14935301.508988207</v>
      </c>
      <c r="AG18" s="42">
        <v>0</v>
      </c>
      <c r="AH18" s="42">
        <v>0</v>
      </c>
      <c r="AJ18" s="2">
        <v>-1.7124558472333011E-8</v>
      </c>
      <c r="AK18" s="2">
        <v>4.3370369676708531E-9</v>
      </c>
      <c r="AL18" s="2">
        <v>1.6083456498449023E-11</v>
      </c>
      <c r="AM18" s="2">
        <v>5.7085478926389618E-9</v>
      </c>
      <c r="AN18" s="2">
        <v>-1.4457706037871416E-9</v>
      </c>
      <c r="AO18" s="2">
        <v>-5.361491909357441E-12</v>
      </c>
      <c r="AP18" s="2">
        <v>-1.7124558472333011E-8</v>
      </c>
      <c r="AQ18" s="2">
        <v>4.3370369676673003E-9</v>
      </c>
      <c r="AR18" s="2">
        <v>1.6083456498451336E-11</v>
      </c>
      <c r="AS18" s="2">
        <v>5.70854789265791E-9</v>
      </c>
      <c r="AT18" s="2">
        <v>-1.4457706037883257E-9</v>
      </c>
      <c r="AU18" s="2">
        <v>-5.3614919093620664E-12</v>
      </c>
      <c r="AV18" s="2">
        <v>1.2834348334066962E-8</v>
      </c>
      <c r="AW18" s="2">
        <v>-3.2504804880480465E-9</v>
      </c>
      <c r="AX18" s="2">
        <v>-1.2054073303565512E-11</v>
      </c>
      <c r="AY18" s="2">
        <v>-2.1327987620582739E-5</v>
      </c>
      <c r="AZ18" s="2">
        <v>-9.4585141590873032E-6</v>
      </c>
      <c r="BA18" s="2">
        <v>3.1124632089952289E-9</v>
      </c>
      <c r="BB18" s="2">
        <v>-1.7124558472351961E-8</v>
      </c>
      <c r="BC18" s="2">
        <v>4.337036967664339E-9</v>
      </c>
      <c r="BD18" s="2">
        <v>1.6083456498430518E-11</v>
      </c>
      <c r="BE18" s="2">
        <v>5.708547892643699E-9</v>
      </c>
      <c r="BF18" s="2">
        <v>-1.4457706037918785E-9</v>
      </c>
      <c r="BG18" s="2">
        <v>-5.361491909357441E-12</v>
      </c>
      <c r="BH18" s="2">
        <v>-1.7124558472351961E-8</v>
      </c>
      <c r="BI18" s="2">
        <v>4.3370369676637467E-9</v>
      </c>
      <c r="BJ18" s="2">
        <v>1.6083456498445553E-11</v>
      </c>
      <c r="BL18" s="27" t="e">
        <v>#VALUE!</v>
      </c>
      <c r="BM18" s="27">
        <v>3.2504804880472897E-7</v>
      </c>
    </row>
    <row r="19" spans="7:65" x14ac:dyDescent="0.3">
      <c r="H19" s="2">
        <v>0</v>
      </c>
      <c r="I19" s="2">
        <v>0</v>
      </c>
      <c r="J19" s="16">
        <v>0</v>
      </c>
      <c r="K19" s="2">
        <v>0</v>
      </c>
      <c r="L19" s="2">
        <v>0</v>
      </c>
      <c r="M19" s="16">
        <v>0</v>
      </c>
      <c r="N19" s="2">
        <v>0</v>
      </c>
      <c r="O19" s="2">
        <v>0</v>
      </c>
      <c r="P19" s="16">
        <v>0</v>
      </c>
      <c r="Q19" s="36">
        <v>1456.3169421153082</v>
      </c>
      <c r="R19" s="36">
        <v>0</v>
      </c>
      <c r="S19" s="37">
        <v>0</v>
      </c>
      <c r="T19" s="2">
        <v>0</v>
      </c>
      <c r="U19" s="2">
        <v>0</v>
      </c>
      <c r="V19" s="16">
        <v>0</v>
      </c>
      <c r="W19" s="2">
        <v>0</v>
      </c>
      <c r="X19" s="2">
        <v>0</v>
      </c>
      <c r="Y19" s="16">
        <v>0</v>
      </c>
      <c r="Z19" s="5">
        <v>1456.3169421153082</v>
      </c>
      <c r="AA19" s="5">
        <v>-55512.222623119647</v>
      </c>
      <c r="AB19" s="20">
        <v>-55512.222623119647</v>
      </c>
      <c r="AC19" s="36">
        <v>1456.3169421153082</v>
      </c>
      <c r="AD19" s="36">
        <v>0</v>
      </c>
      <c r="AE19" s="37">
        <v>0</v>
      </c>
      <c r="AF19" s="2">
        <v>0</v>
      </c>
      <c r="AG19" s="2">
        <v>0</v>
      </c>
      <c r="AH19" s="2">
        <v>0</v>
      </c>
      <c r="AJ19" s="2">
        <v>1.8093173472812051E-5</v>
      </c>
      <c r="AK19" s="2">
        <v>-4.5823524349967456E-6</v>
      </c>
      <c r="AL19" s="2">
        <v>-1.6993183733094202E-8</v>
      </c>
      <c r="AM19" s="2">
        <v>3.6182171721687061E-5</v>
      </c>
      <c r="AN19" s="2">
        <v>-9.1636474353978573E-6</v>
      </c>
      <c r="AO19" s="2">
        <v>-3.3982446078511612E-8</v>
      </c>
      <c r="AP19" s="2">
        <v>-1.0853963686668053E-4</v>
      </c>
      <c r="AQ19" s="2">
        <v>2.7489200279711578E-5</v>
      </c>
      <c r="AR19" s="2">
        <v>1.0194087810910486E-7</v>
      </c>
      <c r="AS19" s="2">
        <v>-4.8245051762232368E-5</v>
      </c>
      <c r="AT19" s="2">
        <v>1.2218742651830075E-5</v>
      </c>
      <c r="AU19" s="2">
        <v>4.5311953154055173E-8</v>
      </c>
      <c r="AV19" s="2">
        <v>1.8075547805845034E-5</v>
      </c>
      <c r="AW19" s="2">
        <v>-4.5778884852056125E-6</v>
      </c>
      <c r="AX19" s="2">
        <v>-1.6976629633414584E-8</v>
      </c>
      <c r="AY19" s="2">
        <v>3.6182171721687007E-5</v>
      </c>
      <c r="AZ19" s="2">
        <v>-9.163647435397854E-6</v>
      </c>
      <c r="BA19" s="2">
        <v>-3.3982446078511579E-8</v>
      </c>
      <c r="BB19" s="2">
        <v>1.8093173472812088E-5</v>
      </c>
      <c r="BC19" s="2">
        <v>-4.5823524349967625E-6</v>
      </c>
      <c r="BD19" s="2">
        <v>-1.6993183733094219E-8</v>
      </c>
      <c r="BE19" s="2">
        <v>-4.8245051762232368E-5</v>
      </c>
      <c r="BF19" s="2">
        <v>1.2218742651830051E-5</v>
      </c>
      <c r="BG19" s="2">
        <v>4.5311953154055167E-8</v>
      </c>
      <c r="BH19" s="2">
        <v>1.8093173472812098E-5</v>
      </c>
      <c r="BI19" s="2">
        <v>-4.5823524349967608E-6</v>
      </c>
      <c r="BJ19" s="2">
        <v>-1.6993183733094222E-8</v>
      </c>
      <c r="BL19" s="27" t="e">
        <v>#VALUE!</v>
      </c>
      <c r="BM19" s="27">
        <v>4.5778884852051133E-4</v>
      </c>
    </row>
    <row r="20" spans="7:65" x14ac:dyDescent="0.3">
      <c r="G20">
        <v>7</v>
      </c>
      <c r="H20" s="2">
        <v>0</v>
      </c>
      <c r="I20" s="2">
        <v>0</v>
      </c>
      <c r="J20" s="16">
        <v>0</v>
      </c>
      <c r="K20" s="2">
        <v>0</v>
      </c>
      <c r="L20" s="2">
        <v>0</v>
      </c>
      <c r="M20" s="16">
        <v>0</v>
      </c>
      <c r="N20" s="2">
        <v>0</v>
      </c>
      <c r="O20" s="2">
        <v>0</v>
      </c>
      <c r="P20" s="16">
        <v>0</v>
      </c>
      <c r="Q20" s="36">
        <v>-6.9917321824815207E-2</v>
      </c>
      <c r="R20" s="36">
        <v>0</v>
      </c>
      <c r="S20" s="37">
        <v>0</v>
      </c>
      <c r="T20" s="2">
        <v>0</v>
      </c>
      <c r="U20" s="2">
        <v>0</v>
      </c>
      <c r="V20" s="16">
        <v>0</v>
      </c>
      <c r="W20" s="2">
        <v>0</v>
      </c>
      <c r="X20" s="2">
        <v>0</v>
      </c>
      <c r="Y20" s="16">
        <v>0</v>
      </c>
      <c r="Z20" s="5">
        <v>-6.9917321824815207E-2</v>
      </c>
      <c r="AA20" s="5">
        <v>97107.973200126391</v>
      </c>
      <c r="AB20" s="20">
        <v>0</v>
      </c>
      <c r="AC20" s="36">
        <v>-6.9917321824815207E-2</v>
      </c>
      <c r="AD20" s="36">
        <v>0</v>
      </c>
      <c r="AE20" s="37">
        <v>0</v>
      </c>
      <c r="AF20" s="2">
        <v>0</v>
      </c>
      <c r="AG20" s="2">
        <v>0</v>
      </c>
      <c r="AH20" s="2">
        <v>0</v>
      </c>
      <c r="AJ20" s="2">
        <v>0</v>
      </c>
      <c r="AK20" s="2">
        <v>0</v>
      </c>
      <c r="AL20" s="2">
        <v>0</v>
      </c>
      <c r="AM20" s="2">
        <v>5.0612334994452929E-27</v>
      </c>
      <c r="AN20" s="2">
        <v>2.5306167497226465E-27</v>
      </c>
      <c r="AO20" s="2">
        <v>-9.8852216786040878E-30</v>
      </c>
      <c r="AP20" s="2">
        <v>2.5306167497226465E-27</v>
      </c>
      <c r="AQ20" s="2">
        <v>3.1632709371533076E-27</v>
      </c>
      <c r="AR20" s="2">
        <v>-2.4713054196510219E-30</v>
      </c>
      <c r="AS20" s="2">
        <v>-5.0612334994452929E-27</v>
      </c>
      <c r="AT20" s="2">
        <v>0</v>
      </c>
      <c r="AU20" s="2">
        <v>4.9426108393020439E-30</v>
      </c>
      <c r="AV20" s="2">
        <v>-2.5306167497226465E-27</v>
      </c>
      <c r="AW20" s="2">
        <v>0</v>
      </c>
      <c r="AX20" s="2">
        <v>-2.4713054196510219E-30</v>
      </c>
      <c r="AY20" s="2">
        <v>-5.0612334994452929E-27</v>
      </c>
      <c r="AZ20" s="2">
        <v>-1.2653083748613232E-27</v>
      </c>
      <c r="BA20" s="2">
        <v>0</v>
      </c>
      <c r="BB20" s="2">
        <v>-9.1175077208547571E-11</v>
      </c>
      <c r="BC20" s="2">
        <v>1.0297838677944634E-5</v>
      </c>
      <c r="BD20" s="2">
        <v>8.5632011499367653E-14</v>
      </c>
      <c r="BE20" s="2">
        <v>0</v>
      </c>
      <c r="BF20" s="2">
        <v>0</v>
      </c>
      <c r="BG20" s="2">
        <v>0</v>
      </c>
      <c r="BH20" s="2">
        <v>0</v>
      </c>
      <c r="BI20" s="2">
        <v>-1.0122466998890586E-26</v>
      </c>
      <c r="BJ20" s="2">
        <v>-2.4713054196510219E-30</v>
      </c>
      <c r="BL20" s="27" t="e">
        <v>#VALUE!</v>
      </c>
      <c r="BM20" s="27">
        <v>2.7367981722633117E-24</v>
      </c>
    </row>
    <row r="21" spans="7:65" x14ac:dyDescent="0.3">
      <c r="H21" s="9">
        <v>0</v>
      </c>
      <c r="I21" s="9">
        <v>0</v>
      </c>
      <c r="J21" s="17">
        <v>0</v>
      </c>
      <c r="K21" s="9">
        <v>0</v>
      </c>
      <c r="L21" s="9">
        <v>0</v>
      </c>
      <c r="M21" s="17">
        <v>0</v>
      </c>
      <c r="N21" s="9">
        <v>0</v>
      </c>
      <c r="O21" s="9">
        <v>0</v>
      </c>
      <c r="P21" s="17">
        <v>0</v>
      </c>
      <c r="Q21" s="38">
        <v>9958625.2343221083</v>
      </c>
      <c r="R21" s="38">
        <v>0</v>
      </c>
      <c r="S21" s="39">
        <v>0</v>
      </c>
      <c r="T21" s="9">
        <v>0</v>
      </c>
      <c r="U21" s="9">
        <v>0</v>
      </c>
      <c r="V21" s="17">
        <v>0</v>
      </c>
      <c r="W21" s="9">
        <v>0</v>
      </c>
      <c r="X21" s="9">
        <v>0</v>
      </c>
      <c r="Y21" s="17">
        <v>0</v>
      </c>
      <c r="Z21" s="11">
        <v>9958625.2343221083</v>
      </c>
      <c r="AA21" s="11">
        <v>-85291564.782531545</v>
      </c>
      <c r="AB21" s="21">
        <v>-59105597.25341019</v>
      </c>
      <c r="AC21" s="38">
        <v>9958625.2343221083</v>
      </c>
      <c r="AD21" s="38">
        <v>0</v>
      </c>
      <c r="AE21" s="39">
        <v>0</v>
      </c>
      <c r="AF21" s="9">
        <v>0</v>
      </c>
      <c r="AG21" s="9">
        <v>0</v>
      </c>
      <c r="AH21" s="9">
        <v>0</v>
      </c>
      <c r="AJ21" s="2">
        <v>0</v>
      </c>
      <c r="AK21" s="2">
        <v>0</v>
      </c>
      <c r="AL21" s="2">
        <v>0</v>
      </c>
      <c r="AM21" s="2">
        <v>1.1843895865064163E-21</v>
      </c>
      <c r="AN21" s="2">
        <v>5.9219479325320816E-22</v>
      </c>
      <c r="AO21" s="2">
        <v>-2.3132609111453444E-24</v>
      </c>
      <c r="AP21" s="2">
        <v>5.9219479325320816E-22</v>
      </c>
      <c r="AQ21" s="2">
        <v>7.402434915665102E-22</v>
      </c>
      <c r="AR21" s="2">
        <v>-5.7831522778633609E-25</v>
      </c>
      <c r="AS21" s="2">
        <v>-1.1843895865064163E-21</v>
      </c>
      <c r="AT21" s="2">
        <v>0</v>
      </c>
      <c r="AU21" s="2">
        <v>1.1566304555726722E-24</v>
      </c>
      <c r="AV21" s="2">
        <v>-5.9219479325320816E-22</v>
      </c>
      <c r="AW21" s="2">
        <v>0</v>
      </c>
      <c r="AX21" s="2">
        <v>-5.7831522778633609E-25</v>
      </c>
      <c r="AY21" s="2">
        <v>-1.1843895865064163E-21</v>
      </c>
      <c r="AZ21" s="2">
        <v>-2.9609739662660408E-22</v>
      </c>
      <c r="BA21" s="2">
        <v>0</v>
      </c>
      <c r="BB21" s="2">
        <v>-2.1336066001807169E-5</v>
      </c>
      <c r="BC21" s="2">
        <v>-9.4564681946283769E-6</v>
      </c>
      <c r="BD21" s="2">
        <v>3.1200504582204195E-9</v>
      </c>
      <c r="BE21" s="2">
        <v>0</v>
      </c>
      <c r="BF21" s="2">
        <v>0</v>
      </c>
      <c r="BG21" s="2">
        <v>0</v>
      </c>
      <c r="BH21" s="2">
        <v>0</v>
      </c>
      <c r="BI21" s="2">
        <v>-2.3687791730128326E-21</v>
      </c>
      <c r="BJ21" s="2">
        <v>-5.7831522778633609E-25</v>
      </c>
      <c r="BL21" s="27" t="e">
        <v>#VALUE!</v>
      </c>
      <c r="BM21" s="27">
        <v>-2.5158811792200426E-19</v>
      </c>
    </row>
    <row r="22" spans="7:65" x14ac:dyDescent="0.3">
      <c r="H22" s="2">
        <v>0</v>
      </c>
      <c r="I22" s="2">
        <v>0</v>
      </c>
      <c r="J22" s="16">
        <v>0</v>
      </c>
      <c r="K22" s="2">
        <v>0</v>
      </c>
      <c r="L22" s="2">
        <v>0</v>
      </c>
      <c r="M22" s="16">
        <v>0</v>
      </c>
      <c r="N22" s="2">
        <v>0</v>
      </c>
      <c r="O22" s="2">
        <v>0</v>
      </c>
      <c r="P22" s="16">
        <v>0</v>
      </c>
      <c r="Q22" s="2">
        <v>0</v>
      </c>
      <c r="R22" s="2">
        <v>0</v>
      </c>
      <c r="S22" s="16">
        <v>0</v>
      </c>
      <c r="T22" s="32">
        <v>2182.7588058503261</v>
      </c>
      <c r="U22" s="32">
        <v>0</v>
      </c>
      <c r="V22" s="33">
        <v>0</v>
      </c>
      <c r="W22" s="2">
        <v>0</v>
      </c>
      <c r="X22" s="2">
        <v>0</v>
      </c>
      <c r="Y22" s="16">
        <v>0</v>
      </c>
      <c r="Z22" s="40">
        <v>2182.7588058503261</v>
      </c>
      <c r="AA22" s="40">
        <v>0</v>
      </c>
      <c r="AB22" s="41">
        <v>0</v>
      </c>
      <c r="AC22" s="4">
        <v>2182.7588058503261</v>
      </c>
      <c r="AD22" s="4">
        <v>-55512.222623119647</v>
      </c>
      <c r="AE22" s="18">
        <v>-55512.222623119647</v>
      </c>
      <c r="AF22" s="40">
        <v>2182.7588058503261</v>
      </c>
      <c r="AG22" s="40">
        <v>0</v>
      </c>
      <c r="AH22" s="40">
        <v>0</v>
      </c>
      <c r="AJ22" s="2">
        <v>5.4269818433340236E-5</v>
      </c>
      <c r="AK22" s="2">
        <v>-1.3744600139855786E-5</v>
      </c>
      <c r="AL22" s="2">
        <v>-5.0970439054552426E-8</v>
      </c>
      <c r="AM22" s="2">
        <v>-6.0304697602803185E-5</v>
      </c>
      <c r="AN22" s="2">
        <v>1.5273018761312891E-5</v>
      </c>
      <c r="AO22" s="2">
        <v>5.6638422655539149E-8</v>
      </c>
      <c r="AP22" s="2">
        <v>5.4269818433340229E-5</v>
      </c>
      <c r="AQ22" s="2">
        <v>-1.3744600139855781E-5</v>
      </c>
      <c r="AR22" s="2">
        <v>-5.0970439054552419E-8</v>
      </c>
      <c r="AS22" s="2">
        <v>2.4122525881116164E-5</v>
      </c>
      <c r="AT22" s="2">
        <v>-6.109371325915034E-6</v>
      </c>
      <c r="AU22" s="2">
        <v>-2.2655976577027567E-8</v>
      </c>
      <c r="AV22" s="2">
        <v>-9.0377739029225134E-6</v>
      </c>
      <c r="AW22" s="2">
        <v>2.2889442426028109E-6</v>
      </c>
      <c r="AX22" s="2">
        <v>8.4883148167072905E-9</v>
      </c>
      <c r="AY22" s="2">
        <v>2.4122525881116181E-5</v>
      </c>
      <c r="AZ22" s="2">
        <v>-6.1093713259150399E-6</v>
      </c>
      <c r="BA22" s="2">
        <v>-2.2655976577027583E-8</v>
      </c>
      <c r="BB22" s="2">
        <v>-7.2362991906152317E-5</v>
      </c>
      <c r="BC22" s="2">
        <v>1.8326952574852524E-5</v>
      </c>
      <c r="BD22" s="2">
        <v>6.7963622787646651E-8</v>
      </c>
      <c r="BE22" s="2">
        <v>2.4122525881116177E-5</v>
      </c>
      <c r="BF22" s="2">
        <v>-6.1093713259150314E-6</v>
      </c>
      <c r="BG22" s="2">
        <v>-2.2655976577027573E-8</v>
      </c>
      <c r="BH22" s="2">
        <v>-7.2362991906152344E-5</v>
      </c>
      <c r="BI22" s="2">
        <v>1.8326952574852524E-5</v>
      </c>
      <c r="BJ22" s="2">
        <v>6.7963622787646651E-8</v>
      </c>
      <c r="BL22" s="27" t="e">
        <v>#VALUE!</v>
      </c>
      <c r="BM22" s="27">
        <v>-2.2889442426033611E-4</v>
      </c>
    </row>
    <row r="23" spans="7:65" x14ac:dyDescent="0.3">
      <c r="G23">
        <v>8</v>
      </c>
      <c r="H23" s="2">
        <v>0</v>
      </c>
      <c r="I23" s="2">
        <v>0</v>
      </c>
      <c r="J23" s="16">
        <v>0</v>
      </c>
      <c r="K23" s="2">
        <v>0</v>
      </c>
      <c r="L23" s="2">
        <v>0</v>
      </c>
      <c r="M23" s="16">
        <v>0</v>
      </c>
      <c r="N23" s="2">
        <v>0</v>
      </c>
      <c r="O23" s="2">
        <v>0</v>
      </c>
      <c r="P23" s="16">
        <v>0</v>
      </c>
      <c r="Q23" s="2">
        <v>0</v>
      </c>
      <c r="R23" s="2">
        <v>0</v>
      </c>
      <c r="S23" s="16">
        <v>0</v>
      </c>
      <c r="T23" s="32">
        <v>-50.069917321824818</v>
      </c>
      <c r="U23" s="32">
        <v>0</v>
      </c>
      <c r="V23" s="33">
        <v>0</v>
      </c>
      <c r="W23" s="2">
        <v>0</v>
      </c>
      <c r="X23" s="2">
        <v>0</v>
      </c>
      <c r="Y23" s="16">
        <v>0</v>
      </c>
      <c r="Z23" s="40">
        <v>-6.9917321824815207E-2</v>
      </c>
      <c r="AA23" s="40">
        <v>0</v>
      </c>
      <c r="AB23" s="41">
        <v>0</v>
      </c>
      <c r="AC23" s="4">
        <v>-6.9917321824815207E-2</v>
      </c>
      <c r="AD23" s="4">
        <v>97107.973200126391</v>
      </c>
      <c r="AE23" s="18">
        <v>0</v>
      </c>
      <c r="AF23" s="40">
        <v>-6.9917321824815207E-2</v>
      </c>
      <c r="AG23" s="40">
        <v>0</v>
      </c>
      <c r="AH23" s="40">
        <v>0</v>
      </c>
      <c r="AJ23" s="2">
        <v>1.8646984619548064E-8</v>
      </c>
      <c r="AK23" s="2">
        <v>-4.7226129515162702E-9</v>
      </c>
      <c r="AL23" s="2">
        <v>-1.7513325464121196E-11</v>
      </c>
      <c r="AM23" s="2">
        <v>-6.2160554344295942E-9</v>
      </c>
      <c r="AN23" s="2">
        <v>1.5743040765532513E-9</v>
      </c>
      <c r="AO23" s="2">
        <v>5.83814510213412E-12</v>
      </c>
      <c r="AP23" s="2">
        <v>1.8646984619548081E-8</v>
      </c>
      <c r="AQ23" s="2">
        <v>-4.7226129515162752E-9</v>
      </c>
      <c r="AR23" s="2">
        <v>-1.7513325464121202E-11</v>
      </c>
      <c r="AS23" s="2">
        <v>-6.2160554344296124E-9</v>
      </c>
      <c r="AT23" s="2">
        <v>1.574304076553255E-9</v>
      </c>
      <c r="AU23" s="2">
        <v>5.8381451021341289E-12</v>
      </c>
      <c r="AV23" s="2">
        <v>-1.397536154720486E-8</v>
      </c>
      <c r="AW23" s="2">
        <v>3.5394582444049755E-9</v>
      </c>
      <c r="AX23" s="2">
        <v>1.3125717656160913E-11</v>
      </c>
      <c r="AY23" s="2">
        <v>-6.2160554344296165E-9</v>
      </c>
      <c r="AZ23" s="2">
        <v>1.5743040765532569E-9</v>
      </c>
      <c r="BA23" s="2">
        <v>5.8381451021341362E-12</v>
      </c>
      <c r="BB23" s="2">
        <v>1.8646984619548107E-8</v>
      </c>
      <c r="BC23" s="2">
        <v>-4.722612951516276E-9</v>
      </c>
      <c r="BD23" s="2">
        <v>-1.7513325464121228E-11</v>
      </c>
      <c r="BE23" s="2">
        <v>-6.2768426711577018E-9</v>
      </c>
      <c r="BF23" s="2">
        <v>1.0299405285870203E-5</v>
      </c>
      <c r="BG23" s="2">
        <v>5.8952367275418973E-12</v>
      </c>
      <c r="BH23" s="2">
        <v>1.8646984619548098E-8</v>
      </c>
      <c r="BI23" s="2">
        <v>-4.722612951516276E-9</v>
      </c>
      <c r="BJ23" s="2">
        <v>-1.7513325464121228E-11</v>
      </c>
      <c r="BL23" s="27" t="e">
        <v>#VALUE!</v>
      </c>
      <c r="BM23" s="27">
        <v>-3.5394582444050727E-7</v>
      </c>
    </row>
    <row r="24" spans="7:65" x14ac:dyDescent="0.3">
      <c r="H24" s="9">
        <v>0</v>
      </c>
      <c r="I24" s="9">
        <v>0</v>
      </c>
      <c r="J24" s="17">
        <v>0</v>
      </c>
      <c r="K24" s="9">
        <v>0</v>
      </c>
      <c r="L24" s="9">
        <v>0</v>
      </c>
      <c r="M24" s="17">
        <v>0</v>
      </c>
      <c r="N24" s="9">
        <v>0</v>
      </c>
      <c r="O24" s="9">
        <v>0</v>
      </c>
      <c r="P24" s="17">
        <v>0</v>
      </c>
      <c r="Q24" s="9">
        <v>0</v>
      </c>
      <c r="R24" s="9">
        <v>0</v>
      </c>
      <c r="S24" s="17">
        <v>0</v>
      </c>
      <c r="T24" s="34">
        <v>14935301.508988207</v>
      </c>
      <c r="U24" s="34">
        <v>0</v>
      </c>
      <c r="V24" s="35">
        <v>0</v>
      </c>
      <c r="W24" s="9">
        <v>0</v>
      </c>
      <c r="X24" s="9">
        <v>0</v>
      </c>
      <c r="Y24" s="17">
        <v>0</v>
      </c>
      <c r="Z24" s="42">
        <v>14935301.508988207</v>
      </c>
      <c r="AA24" s="42">
        <v>0</v>
      </c>
      <c r="AB24" s="43">
        <v>0</v>
      </c>
      <c r="AC24" s="10">
        <v>14935301.508988207</v>
      </c>
      <c r="AD24" s="10">
        <v>-85291564.782531545</v>
      </c>
      <c r="AE24" s="19">
        <v>-59105597.25341019</v>
      </c>
      <c r="AF24" s="42">
        <v>14935301.508988207</v>
      </c>
      <c r="AG24" s="42">
        <v>0</v>
      </c>
      <c r="AH24" s="42">
        <v>0</v>
      </c>
      <c r="AJ24" s="2">
        <v>-1.7124558472346468E-8</v>
      </c>
      <c r="AK24" s="2">
        <v>4.3370369676671696E-9</v>
      </c>
      <c r="AL24" s="2">
        <v>1.6083456498439817E-11</v>
      </c>
      <c r="AM24" s="2">
        <v>5.708547892652066E-9</v>
      </c>
      <c r="AN24" s="2">
        <v>-1.445770603785855E-9</v>
      </c>
      <c r="AO24" s="2">
        <v>-5.361491909353112E-12</v>
      </c>
      <c r="AP24" s="2">
        <v>-1.7124558472346478E-8</v>
      </c>
      <c r="AQ24" s="2">
        <v>4.3370369676671738E-9</v>
      </c>
      <c r="AR24" s="2">
        <v>1.6083456498439827E-11</v>
      </c>
      <c r="AS24" s="2">
        <v>5.7085478926520833E-9</v>
      </c>
      <c r="AT24" s="2">
        <v>-1.4457706037858583E-9</v>
      </c>
      <c r="AU24" s="2">
        <v>-5.3614919093531201E-12</v>
      </c>
      <c r="AV24" s="2">
        <v>1.2834348334068199E-8</v>
      </c>
      <c r="AW24" s="2">
        <v>-3.2504804880463711E-9</v>
      </c>
      <c r="AX24" s="2">
        <v>-1.2054073303562664E-11</v>
      </c>
      <c r="AY24" s="2">
        <v>5.7085478926520875E-9</v>
      </c>
      <c r="AZ24" s="2">
        <v>-1.4457706037858603E-9</v>
      </c>
      <c r="BA24" s="2">
        <v>-5.3614919093531258E-12</v>
      </c>
      <c r="BB24" s="2">
        <v>-1.7124558472346504E-8</v>
      </c>
      <c r="BC24" s="2">
        <v>4.3370369676671746E-9</v>
      </c>
      <c r="BD24" s="2">
        <v>1.608345649843985E-11</v>
      </c>
      <c r="BE24" s="2">
        <v>-2.1327987620582742E-5</v>
      </c>
      <c r="BF24" s="2">
        <v>-9.4585141590873049E-6</v>
      </c>
      <c r="BG24" s="2">
        <v>3.1124632089952343E-9</v>
      </c>
      <c r="BH24" s="2">
        <v>-1.7124558472346498E-8</v>
      </c>
      <c r="BI24" s="2">
        <v>4.3370369676671738E-9</v>
      </c>
      <c r="BJ24" s="2">
        <v>1.6083456498439846E-11</v>
      </c>
      <c r="BL24" s="27" t="e">
        <v>#VALUE!</v>
      </c>
      <c r="BM24" s="27">
        <v>3.250480488047087E-7</v>
      </c>
    </row>
    <row r="25" spans="7:65" x14ac:dyDescent="0.3">
      <c r="H25" s="2">
        <v>0</v>
      </c>
      <c r="I25" s="2">
        <v>0</v>
      </c>
      <c r="J25" s="16">
        <v>0</v>
      </c>
      <c r="K25" s="2">
        <v>0</v>
      </c>
      <c r="L25" s="2">
        <v>0</v>
      </c>
      <c r="M25" s="16">
        <v>0</v>
      </c>
      <c r="N25" s="2">
        <v>0</v>
      </c>
      <c r="O25" s="2">
        <v>0</v>
      </c>
      <c r="P25" s="16">
        <v>0</v>
      </c>
      <c r="Q25" s="2">
        <v>0</v>
      </c>
      <c r="R25" s="2">
        <v>0</v>
      </c>
      <c r="S25" s="16">
        <v>0</v>
      </c>
      <c r="T25" s="2">
        <v>0</v>
      </c>
      <c r="U25" s="2">
        <v>0</v>
      </c>
      <c r="V25" s="16">
        <v>0</v>
      </c>
      <c r="W25" s="36">
        <v>1456.3169421153082</v>
      </c>
      <c r="X25" s="36">
        <v>0</v>
      </c>
      <c r="Y25" s="37">
        <v>0</v>
      </c>
      <c r="Z25" s="2">
        <v>0</v>
      </c>
      <c r="AA25" s="2">
        <v>0</v>
      </c>
      <c r="AB25" s="16">
        <v>0</v>
      </c>
      <c r="AC25" s="36">
        <v>1456.3169421153082</v>
      </c>
      <c r="AD25" s="36">
        <v>0</v>
      </c>
      <c r="AE25" s="37">
        <v>0</v>
      </c>
      <c r="AF25" s="3">
        <v>1456.3169421153082</v>
      </c>
      <c r="AG25" s="3">
        <v>-55512.222623119647</v>
      </c>
      <c r="AH25" s="3">
        <v>-55512.222623119647</v>
      </c>
      <c r="AJ25" s="2">
        <v>-1.0853963686668043E-4</v>
      </c>
      <c r="AK25" s="2">
        <v>2.7489200279711561E-5</v>
      </c>
      <c r="AL25" s="2">
        <v>1.0194087810910483E-7</v>
      </c>
      <c r="AM25" s="2">
        <v>3.6182171721686967E-5</v>
      </c>
      <c r="AN25" s="2">
        <v>-9.1636474353978404E-6</v>
      </c>
      <c r="AO25" s="2">
        <v>-3.3982446078511533E-8</v>
      </c>
      <c r="AP25" s="2">
        <v>1.8093173472812129E-5</v>
      </c>
      <c r="AQ25" s="2">
        <v>-4.5823524349967591E-6</v>
      </c>
      <c r="AR25" s="2">
        <v>-1.6993183733094242E-8</v>
      </c>
      <c r="AS25" s="2">
        <v>3.6182171721687048E-5</v>
      </c>
      <c r="AT25" s="2">
        <v>-9.1636474353978557E-6</v>
      </c>
      <c r="AU25" s="2">
        <v>-3.3982446078511612E-8</v>
      </c>
      <c r="AV25" s="2">
        <v>1.807554780584503E-5</v>
      </c>
      <c r="AW25" s="2">
        <v>-4.5778884852056192E-6</v>
      </c>
      <c r="AX25" s="2">
        <v>-1.6976629633414588E-8</v>
      </c>
      <c r="AY25" s="2">
        <v>-4.8245051762232334E-5</v>
      </c>
      <c r="AZ25" s="2">
        <v>1.2218742651830071E-5</v>
      </c>
      <c r="BA25" s="2">
        <v>4.531195315405514E-8</v>
      </c>
      <c r="BB25" s="2">
        <v>1.809317347281204E-5</v>
      </c>
      <c r="BC25" s="2">
        <v>-4.582352434996721E-6</v>
      </c>
      <c r="BD25" s="2">
        <v>-1.6993183733094166E-8</v>
      </c>
      <c r="BE25" s="2">
        <v>-4.8245051762232348E-5</v>
      </c>
      <c r="BF25" s="2">
        <v>1.2218742651830092E-5</v>
      </c>
      <c r="BG25" s="2">
        <v>4.5311953154055154E-8</v>
      </c>
      <c r="BH25" s="2">
        <v>1.8093173472812074E-5</v>
      </c>
      <c r="BI25" s="2">
        <v>-4.5823524349967227E-6</v>
      </c>
      <c r="BJ25" s="2">
        <v>-1.6993183733094172E-8</v>
      </c>
      <c r="BL25" s="27" t="e">
        <v>#VALUE!</v>
      </c>
      <c r="BM25" s="27">
        <v>4.5778884852068914E-4</v>
      </c>
    </row>
    <row r="26" spans="7:65" x14ac:dyDescent="0.3">
      <c r="G26">
        <v>9</v>
      </c>
      <c r="H26" s="2">
        <v>0</v>
      </c>
      <c r="I26" s="2">
        <v>0</v>
      </c>
      <c r="J26" s="16">
        <v>0</v>
      </c>
      <c r="K26" s="2">
        <v>0</v>
      </c>
      <c r="L26" s="2">
        <v>0</v>
      </c>
      <c r="M26" s="16">
        <v>0</v>
      </c>
      <c r="N26" s="2">
        <v>0</v>
      </c>
      <c r="O26" s="2">
        <v>0</v>
      </c>
      <c r="P26" s="16">
        <v>0</v>
      </c>
      <c r="Q26" s="2">
        <v>0</v>
      </c>
      <c r="R26" s="2">
        <v>0</v>
      </c>
      <c r="S26" s="16">
        <v>0</v>
      </c>
      <c r="T26" s="2">
        <v>0</v>
      </c>
      <c r="U26" s="2">
        <v>0</v>
      </c>
      <c r="V26" s="16">
        <v>0</v>
      </c>
      <c r="W26" s="36">
        <v>-6.9917321824815207E-2</v>
      </c>
      <c r="X26" s="36">
        <v>0</v>
      </c>
      <c r="Y26" s="37">
        <v>0</v>
      </c>
      <c r="Z26" s="2">
        <v>0</v>
      </c>
      <c r="AA26" s="2">
        <v>0</v>
      </c>
      <c r="AB26" s="16">
        <v>0</v>
      </c>
      <c r="AC26" s="36">
        <v>-6.9917321824815207E-2</v>
      </c>
      <c r="AD26" s="36">
        <v>0</v>
      </c>
      <c r="AE26" s="37">
        <v>0</v>
      </c>
      <c r="AF26" s="3">
        <v>-6.9917321824815207E-2</v>
      </c>
      <c r="AG26" s="3">
        <v>97107.973200126391</v>
      </c>
      <c r="AH26" s="3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-9.1175077208547571E-11</v>
      </c>
      <c r="BI26" s="2">
        <v>1.0297838677944634E-5</v>
      </c>
      <c r="BJ26" s="2">
        <v>8.5632011499367653E-14</v>
      </c>
      <c r="BL26" s="27" t="e">
        <v>#VALUE!</v>
      </c>
      <c r="BM26" s="27">
        <v>2.1837128825102281E-25</v>
      </c>
    </row>
    <row r="27" spans="7:65" x14ac:dyDescent="0.3">
      <c r="H27" s="2">
        <v>0</v>
      </c>
      <c r="I27" s="2">
        <v>0</v>
      </c>
      <c r="J27" s="16">
        <v>0</v>
      </c>
      <c r="K27" s="2">
        <v>0</v>
      </c>
      <c r="L27" s="2">
        <v>0</v>
      </c>
      <c r="M27" s="16">
        <v>0</v>
      </c>
      <c r="N27" s="2">
        <v>0</v>
      </c>
      <c r="O27" s="2">
        <v>0</v>
      </c>
      <c r="P27" s="16">
        <v>0</v>
      </c>
      <c r="Q27" s="2">
        <v>0</v>
      </c>
      <c r="R27" s="2">
        <v>0</v>
      </c>
      <c r="S27" s="16">
        <v>0</v>
      </c>
      <c r="T27" s="2">
        <v>0</v>
      </c>
      <c r="U27" s="2">
        <v>0</v>
      </c>
      <c r="V27" s="16">
        <v>0</v>
      </c>
      <c r="W27" s="36">
        <v>9958625.2343221083</v>
      </c>
      <c r="X27" s="36">
        <v>0</v>
      </c>
      <c r="Y27" s="37">
        <v>0</v>
      </c>
      <c r="Z27" s="2">
        <v>0</v>
      </c>
      <c r="AA27" s="2">
        <v>0</v>
      </c>
      <c r="AB27" s="16">
        <v>0</v>
      </c>
      <c r="AC27" s="36">
        <v>9958625.2343221083</v>
      </c>
      <c r="AD27" s="36">
        <v>0</v>
      </c>
      <c r="AE27" s="37">
        <v>0</v>
      </c>
      <c r="AF27" s="3">
        <v>9958625.2343221083</v>
      </c>
      <c r="AG27" s="3">
        <v>-85291564.782531545</v>
      </c>
      <c r="AH27" s="3">
        <v>-59105597.25341019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-2.1336066001807173E-5</v>
      </c>
      <c r="BI27" s="2">
        <v>-9.4564681946283752E-6</v>
      </c>
      <c r="BJ27" s="2">
        <v>3.1200504582204191E-9</v>
      </c>
      <c r="BL27" s="27" t="e">
        <v>#VALUE!</v>
      </c>
      <c r="BM27" s="27">
        <v>4.6178052342982307E-21</v>
      </c>
    </row>
    <row r="28" spans="7:65" ht="21" x14ac:dyDescent="0.4">
      <c r="H28" s="26"/>
      <c r="I28" s="26">
        <v>1</v>
      </c>
      <c r="J28" s="26"/>
      <c r="K28" s="26"/>
      <c r="L28" s="26">
        <v>2</v>
      </c>
      <c r="M28" s="26"/>
      <c r="N28" s="26"/>
      <c r="O28" s="26">
        <v>3</v>
      </c>
      <c r="P28" s="26"/>
      <c r="Q28" s="26"/>
      <c r="R28" s="26">
        <v>4</v>
      </c>
      <c r="S28" s="26"/>
      <c r="T28" s="26"/>
      <c r="U28" s="26">
        <v>5</v>
      </c>
      <c r="V28" s="26"/>
      <c r="W28" s="26"/>
      <c r="X28" s="26">
        <v>6</v>
      </c>
      <c r="Y28" s="26"/>
      <c r="Z28" s="26"/>
      <c r="AA28" s="26">
        <v>7</v>
      </c>
      <c r="AB28" s="26"/>
      <c r="AC28" s="26"/>
      <c r="AD28" s="26">
        <v>8</v>
      </c>
      <c r="AE28" s="26"/>
      <c r="AF28" s="26"/>
      <c r="AG28" s="26">
        <v>9</v>
      </c>
      <c r="AH28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PVT</vt:lpstr>
      <vt:lpstr>ROCK</vt:lpstr>
      <vt:lpstr>REF</vt:lpstr>
      <vt:lpstr>INIT</vt:lpstr>
      <vt:lpstr>RESULT GRID PRESSURE</vt:lpstr>
      <vt:lpstr>RESULT GRID SO</vt:lpstr>
      <vt:lpstr>RESULT GRID SW</vt:lpstr>
      <vt:lpstr>RESULT GRID SG</vt:lpstr>
      <vt:lpstr>RESULT WELL</vt:lpstr>
      <vt:lpstr>ORET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Zuher Syihab, S.T, Ph.D.</dc:creator>
  <cp:lastModifiedBy>Zuher Syihab, S.T, Ph.D.</cp:lastModifiedBy>
  <dcterms:created xsi:type="dcterms:W3CDTF">2026-04-14T05:35:11Z</dcterms:created>
  <dcterms:modified xsi:type="dcterms:W3CDTF">2026-04-28T07:37:03Z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2026-04-14T06:09:06Z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f7768704-d5fa-4121-96bd-7bb00da0976b</vt:lpwstr>
  </property>
  <property fmtid="{D5CDD505-2E9C-101B-9397-08002B2CF9AE}" pid="8" name="MSIP_Label_38b525e5-f3da-4501-8f1e-526b6769fc56_ContentBits">
    <vt:lpwstr>0</vt:lpwstr>
  </property>
  <property fmtid="{D5CDD505-2E9C-101B-9397-08002B2CF9AE}" pid="9" name="MSIP_Label_38b525e5-f3da-4501-8f1e-526b6769fc56_Tag">
    <vt:lpwstr>10, 3, 0, 1</vt:lpwstr>
  </property>
</Properties>
</file>