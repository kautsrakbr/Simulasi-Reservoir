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0CC2361-52A5-47B6-8E1E-8505F7189C23}" xr6:coauthVersionLast="47" xr6:coauthVersionMax="47" xr10:uidLastSave="{00000000-0000-0000-0000-000000000000}"/>
  <bookViews>
    <workbookView xWindow="-110" yWindow="-110" windowWidth="25820" windowHeight="13900" activeTab="3" xr2:uid="{F164F52E-8D73-4DE4-BB5E-479A0EE95AFE}"/>
  </bookViews>
  <sheets>
    <sheet name="PVT" sheetId="2" r:id="rId1"/>
    <sheet name="ROCK" sheetId="3" r:id="rId2"/>
    <sheet name="REF" sheetId="4" r:id="rId3"/>
    <sheet name="INIT" sheetId="5" r:id="rId4"/>
    <sheet name="RESULT GRID" sheetId="6" r:id="rId5"/>
    <sheet name="RESULT WELL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7" l="1" a="1"/>
  <c r="A4" i="7" s="1"/>
  <c r="B7" i="5"/>
  <c r="B5" i="5"/>
  <c r="B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<sst xmlns="http://schemas.openxmlformats.org/spreadsheetml/2006/main" count="38" uniqueCount="37">
  <si>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Pb</t>
  </si>
  <si>
    <t>p</t>
  </si>
  <si>
    <t>Bo</t>
  </si>
  <si>
    <t>Bg</t>
  </si>
  <si>
    <t>Bw</t>
  </si>
  <si>
    <t>mo</t>
  </si>
  <si>
    <t>Rso</t>
  </si>
  <si>
    <t>mw</t>
  </si>
  <si>
    <t>Rsw</t>
  </si>
  <si>
    <t>mg</t>
  </si>
  <si>
    <t>ZREF</t>
  </si>
  <si>
    <t>PREF</t>
  </si>
  <si>
    <t>DENOIL</t>
  </si>
  <si>
    <t>DENWAT</t>
  </si>
  <si>
    <t>DENGAS</t>
  </si>
  <si>
    <t>CROCK</t>
  </si>
  <si>
    <t>Sw</t>
  </si>
  <si>
    <t>KROW</t>
  </si>
  <si>
    <t>KRW</t>
  </si>
  <si>
    <t>PCOW</t>
  </si>
  <si>
    <t>GAS-WATER</t>
  </si>
  <si>
    <t>OIL-WATER</t>
  </si>
  <si>
    <t>PCOG</t>
  </si>
  <si>
    <t>KROG</t>
  </si>
  <si>
    <t>SG</t>
  </si>
  <si>
    <t>SW</t>
  </si>
  <si>
    <t>SO</t>
  </si>
  <si>
    <t>SWMAX</t>
  </si>
  <si>
    <t>SGMAX</t>
  </si>
  <si>
    <t>KRG</t>
  </si>
  <si>
    <t>PINIT</t>
  </si>
  <si>
    <t>PB</t>
  </si>
  <si>
    <t>COREF</t>
  </si>
  <si>
    <t>CWREF</t>
  </si>
  <si>
    <t>CGREF</t>
  </si>
  <si>
    <t>Tpr</t>
  </si>
  <si>
    <t>Ppr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</si>
</sst>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AB1A-B734-4147-9B0B-8D6397DD0228}">
  <sheetPr codeName="Sheet2"/>
  <dimension ref="A1:I12"/>
  <sheetViews>
    <sheetView workbookViewId="0">
      <selection activeCell="H4" sqref="H4"/>
    </sheetView>
  </sheetViews>
  <sheetFormatPr defaultRowHeight="14.5" x14ac:dyDescent="0.35"/>
  <sheetData>
    <row r="1" spans="1:9" x14ac:dyDescent="0.35">
      <c r="A1" t="s">
        <v>0</v>
      </c>
      <c r="B1">
        <v>2800</v>
      </c>
    </row>
    <row r="2" spans="1:9" x14ac:dyDescent="0.35">
      <c r="A2" t="s">
        <v>1</v>
      </c>
      <c r="B2" t="s">
        <v>2</v>
      </c>
      <c r="C2" t="s">
        <v>5</v>
      </c>
      <c r="D2" t="s">
        <v>6</v>
      </c>
      <c r="E2" t="s">
        <v>3</v>
      </c>
      <c r="F2" t="s">
        <v>9</v>
      </c>
      <c r="G2" t="s">
        <v>4</v>
      </c>
      <c r="H2" t="s">
        <v>7</v>
      </c>
      <c r="I2" t="s">
        <v>8</v>
      </c>
    </row>
    <row r="3" spans="1:9" x14ac:dyDescent="0.35">
      <c r="A3">
        <v>14.7</v>
      </c>
      <c r="B3">
        <v>1.0620000000000001</v>
      </c>
      <c r="C3">
        <v>1.04</v>
      </c>
      <c r="D3">
        <v>1</v>
      </c>
      <c r="E3">
        <v>0.93582949999999998</v>
      </c>
      <c r="F3">
        <v>8.0000000000000002E-3</v>
      </c>
      <c r="G3">
        <v>1.04473539</v>
      </c>
      <c r="H3">
        <v>0.31</v>
      </c>
      <c r="I3">
        <v>0</v>
      </c>
    </row>
    <row r="4" spans="1:9" x14ac:dyDescent="0.35">
      <c r="A4">
        <v>264.7</v>
      </c>
      <c r="B4">
        <v>1.1499999999999999</v>
      </c>
      <c r="C4">
        <v>0.97499999999999998</v>
      </c>
      <c r="D4">
        <v>90.5</v>
      </c>
      <c r="E4">
        <v>6.7902100000000007E-2</v>
      </c>
      <c r="F4">
        <v>9.5999999999999992E-3</v>
      </c>
      <c r="G4">
        <v>1.0439629050000001</v>
      </c>
      <c r="H4">
        <v>0.31</v>
      </c>
      <c r="I4">
        <v>0</v>
      </c>
    </row>
    <row r="5" spans="1:9" x14ac:dyDescent="0.35">
      <c r="A5">
        <v>514.70000000000005</v>
      </c>
      <c r="B5">
        <v>1.2070000000000001</v>
      </c>
      <c r="C5">
        <v>0.91</v>
      </c>
      <c r="D5">
        <v>180</v>
      </c>
      <c r="E5">
        <v>3.5228500000000003E-2</v>
      </c>
      <c r="F5">
        <v>1.12E-2</v>
      </c>
      <c r="G5">
        <v>1.04319042</v>
      </c>
      <c r="H5">
        <v>0.31</v>
      </c>
      <c r="I5">
        <v>0</v>
      </c>
    </row>
    <row r="6" spans="1:9" x14ac:dyDescent="0.35">
      <c r="A6">
        <v>1014.7</v>
      </c>
      <c r="B6">
        <v>1.2949999999999999</v>
      </c>
      <c r="C6">
        <v>0.83</v>
      </c>
      <c r="D6">
        <v>371</v>
      </c>
      <c r="E6">
        <v>1.7951100000000001E-2</v>
      </c>
      <c r="F6">
        <v>1.4E-2</v>
      </c>
      <c r="G6">
        <v>1.0416454500000001</v>
      </c>
      <c r="H6">
        <v>0.31</v>
      </c>
      <c r="I6">
        <v>0</v>
      </c>
    </row>
    <row r="7" spans="1:9" x14ac:dyDescent="0.35">
      <c r="A7">
        <v>2014.7</v>
      </c>
      <c r="B7">
        <v>1.4350000000000001</v>
      </c>
      <c r="C7">
        <v>0.69499999999999995</v>
      </c>
      <c r="D7">
        <v>636</v>
      </c>
      <c r="E7">
        <v>9.0626000000000005E-3</v>
      </c>
      <c r="F7">
        <v>1.89E-2</v>
      </c>
      <c r="G7">
        <v>1.0385555099999999</v>
      </c>
      <c r="H7">
        <v>0.31</v>
      </c>
      <c r="I7">
        <v>0</v>
      </c>
    </row>
    <row r="8" spans="1:9" x14ac:dyDescent="0.35">
      <c r="A8">
        <v>2514.6999999999998</v>
      </c>
      <c r="B8">
        <v>1.5</v>
      </c>
      <c r="C8">
        <v>0.64100000000000001</v>
      </c>
      <c r="D8">
        <v>775</v>
      </c>
      <c r="E8">
        <v>7.2658000000000002E-3</v>
      </c>
      <c r="F8">
        <v>2.0799999999999999E-2</v>
      </c>
      <c r="G8">
        <v>1.03701054</v>
      </c>
      <c r="H8">
        <v>0.31</v>
      </c>
      <c r="I8">
        <v>0</v>
      </c>
    </row>
    <row r="9" spans="1:9" x14ac:dyDescent="0.35">
      <c r="A9">
        <v>3014.7</v>
      </c>
      <c r="B9">
        <v>1.5649999999999999</v>
      </c>
      <c r="C9">
        <v>0.59399999999999997</v>
      </c>
      <c r="D9">
        <v>930</v>
      </c>
      <c r="E9">
        <v>6.0641999999999996E-3</v>
      </c>
      <c r="F9">
        <v>2.2800000000000001E-2</v>
      </c>
      <c r="G9">
        <v>1.0354655699999999</v>
      </c>
      <c r="H9">
        <v>0.31</v>
      </c>
      <c r="I9">
        <v>0</v>
      </c>
    </row>
    <row r="10" spans="1:9" x14ac:dyDescent="0.35">
      <c r="A10">
        <v>4014.7</v>
      </c>
      <c r="B10">
        <v>1.6950000000000001</v>
      </c>
      <c r="C10">
        <v>0.51</v>
      </c>
      <c r="D10">
        <v>1270</v>
      </c>
      <c r="E10">
        <v>4.5537599999999996E-3</v>
      </c>
      <c r="F10">
        <v>2.6800000000000001E-2</v>
      </c>
      <c r="G10">
        <v>1.03237563</v>
      </c>
      <c r="H10">
        <v>0.31</v>
      </c>
      <c r="I10">
        <v>0</v>
      </c>
    </row>
    <row r="11" spans="1:9" x14ac:dyDescent="0.35">
      <c r="A11">
        <v>5014.7</v>
      </c>
      <c r="B11">
        <v>1.827</v>
      </c>
      <c r="C11">
        <v>0.44900000000000001</v>
      </c>
      <c r="D11">
        <v>1600</v>
      </c>
      <c r="E11">
        <v>3.6440000000000001E-3</v>
      </c>
      <c r="F11">
        <v>3.2899999999999999E-2</v>
      </c>
      <c r="G11">
        <v>1.02928569</v>
      </c>
      <c r="H11">
        <v>0.31</v>
      </c>
      <c r="I11">
        <v>0</v>
      </c>
    </row>
    <row r="12" spans="1:9" x14ac:dyDescent="0.35">
      <c r="A12">
        <v>9014.7000000000007</v>
      </c>
      <c r="B12">
        <v>2.3530000000000002</v>
      </c>
      <c r="C12">
        <v>0.20300000000000001</v>
      </c>
      <c r="D12">
        <v>2984</v>
      </c>
      <c r="E12">
        <v>2.1673899999999999E-3</v>
      </c>
      <c r="F12">
        <v>4.7E-2</v>
      </c>
      <c r="G12">
        <v>1.01692593</v>
      </c>
      <c r="H12">
        <v>0.31</v>
      </c>
      <c r="I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00CA-9A28-47F1-BDF2-DCA209947474}">
  <sheetPr codeName="Sheet3"/>
  <dimension ref="A1:I17"/>
  <sheetViews>
    <sheetView workbookViewId="0">
      <selection activeCell="H3" sqref="H3"/>
    </sheetView>
  </sheetViews>
  <sheetFormatPr defaultRowHeight="14.5" x14ac:dyDescent="0.35"/>
  <sheetData>
    <row r="1" spans="1:9" x14ac:dyDescent="0.35">
      <c r="A1" t="s">
        <v>21</v>
      </c>
      <c r="F1" t="s">
        <v>20</v>
      </c>
    </row>
    <row r="2" spans="1:9" x14ac:dyDescent="0.35">
      <c r="A2" t="s">
        <v>16</v>
      </c>
      <c r="B2" t="s">
        <v>17</v>
      </c>
      <c r="C2" t="s">
        <v>18</v>
      </c>
      <c r="D2" t="s">
        <v>19</v>
      </c>
      <c r="F2" t="s">
        <v>24</v>
      </c>
      <c r="G2" t="s">
        <v>23</v>
      </c>
      <c r="H2" t="s">
        <v>29</v>
      </c>
      <c r="I2" t="s">
        <v>22</v>
      </c>
    </row>
    <row r="3" spans="1:9" x14ac:dyDescent="0.35">
      <c r="A3">
        <v>0</v>
      </c>
      <c r="B3">
        <v>1</v>
      </c>
      <c r="C3">
        <v>0</v>
      </c>
      <c r="D3">
        <v>0</v>
      </c>
      <c r="F3">
        <v>0</v>
      </c>
      <c r="G3">
        <v>1</v>
      </c>
      <c r="H3">
        <v>0</v>
      </c>
      <c r="I3">
        <v>0</v>
      </c>
    </row>
    <row r="4" spans="1:9" x14ac:dyDescent="0.35">
      <c r="A4">
        <v>0.99990000000000001</v>
      </c>
      <c r="B4">
        <v>1</v>
      </c>
      <c r="C4">
        <v>0</v>
      </c>
      <c r="D4">
        <v>0</v>
      </c>
      <c r="F4">
        <v>1E-3</v>
      </c>
      <c r="G4">
        <v>1</v>
      </c>
      <c r="H4">
        <v>0</v>
      </c>
      <c r="I4">
        <v>0</v>
      </c>
    </row>
    <row r="5" spans="1:9" x14ac:dyDescent="0.35">
      <c r="A5">
        <v>1</v>
      </c>
      <c r="B5">
        <v>0</v>
      </c>
      <c r="C5">
        <v>1</v>
      </c>
      <c r="D5">
        <v>0</v>
      </c>
      <c r="F5">
        <v>0.02</v>
      </c>
      <c r="G5">
        <v>0.997</v>
      </c>
      <c r="H5">
        <v>0</v>
      </c>
      <c r="I5">
        <v>0</v>
      </c>
    </row>
    <row r="6" spans="1:9" x14ac:dyDescent="0.35">
      <c r="F6">
        <v>0.05</v>
      </c>
      <c r="G6">
        <v>0.98</v>
      </c>
      <c r="H6">
        <v>5.0000000000000001E-3</v>
      </c>
      <c r="I6">
        <v>0</v>
      </c>
    </row>
    <row r="7" spans="1:9" x14ac:dyDescent="0.35">
      <c r="F7">
        <v>0.12</v>
      </c>
      <c r="G7">
        <v>0.7</v>
      </c>
      <c r="H7">
        <v>2.5000000000000001E-2</v>
      </c>
      <c r="I7">
        <v>0</v>
      </c>
    </row>
    <row r="8" spans="1:9" x14ac:dyDescent="0.35">
      <c r="F8">
        <v>0.2</v>
      </c>
      <c r="G8">
        <v>0.35</v>
      </c>
      <c r="H8">
        <v>7.4999999999999997E-2</v>
      </c>
      <c r="I8">
        <v>0</v>
      </c>
    </row>
    <row r="9" spans="1:9" x14ac:dyDescent="0.35">
      <c r="F9">
        <v>0.25</v>
      </c>
      <c r="G9">
        <v>0.2</v>
      </c>
      <c r="H9">
        <v>0.125</v>
      </c>
      <c r="I9">
        <v>0</v>
      </c>
    </row>
    <row r="10" spans="1:9" x14ac:dyDescent="0.35">
      <c r="F10">
        <v>0.3</v>
      </c>
      <c r="G10">
        <v>0.09</v>
      </c>
      <c r="H10">
        <v>0.19</v>
      </c>
      <c r="I10">
        <v>0</v>
      </c>
    </row>
    <row r="11" spans="1:9" x14ac:dyDescent="0.35">
      <c r="F11">
        <v>0.4</v>
      </c>
      <c r="G11">
        <v>2.1000000000000001E-2</v>
      </c>
      <c r="H11">
        <v>0.41</v>
      </c>
      <c r="I11">
        <v>0</v>
      </c>
    </row>
    <row r="12" spans="1:9" x14ac:dyDescent="0.35">
      <c r="F12">
        <v>0.45</v>
      </c>
      <c r="G12">
        <v>0.01</v>
      </c>
      <c r="H12">
        <v>0.6</v>
      </c>
      <c r="I12">
        <v>0</v>
      </c>
    </row>
    <row r="13" spans="1:9" x14ac:dyDescent="0.35">
      <c r="F13">
        <v>0.5</v>
      </c>
      <c r="G13">
        <v>1E-3</v>
      </c>
      <c r="H13">
        <v>0.72</v>
      </c>
      <c r="I13">
        <v>0</v>
      </c>
    </row>
    <row r="14" spans="1:9" x14ac:dyDescent="0.35">
      <c r="F14">
        <v>0.6</v>
      </c>
      <c r="G14">
        <v>1E-4</v>
      </c>
      <c r="H14">
        <v>0.87</v>
      </c>
      <c r="I14">
        <v>0</v>
      </c>
    </row>
    <row r="15" spans="1:9" x14ac:dyDescent="0.35">
      <c r="F15">
        <v>0.7</v>
      </c>
      <c r="G15">
        <v>0</v>
      </c>
      <c r="H15">
        <v>0.94</v>
      </c>
      <c r="I15">
        <v>0</v>
      </c>
    </row>
    <row r="16" spans="1:9" x14ac:dyDescent="0.35">
      <c r="F16">
        <v>0.85</v>
      </c>
      <c r="G16">
        <v>0</v>
      </c>
      <c r="H16">
        <v>0.98</v>
      </c>
      <c r="I16">
        <v>0</v>
      </c>
    </row>
    <row r="17" spans="6:9" x14ac:dyDescent="0.35">
      <c r="F17">
        <v>1</v>
      </c>
      <c r="G17">
        <v>0</v>
      </c>
      <c r="H17">
        <v>1</v>
      </c>
      <c r="I1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B1FD-93C1-4FD0-9D2C-FE2B26A10C48}">
  <sheetPr codeName="Sheet4"/>
  <dimension ref="A1:E7"/>
  <sheetViews>
    <sheetView workbookViewId="0">
      <selection activeCell="B2" sqref="B2"/>
    </sheetView>
  </sheetViews>
  <sheetFormatPr defaultRowHeight="14.5" x14ac:dyDescent="0.35"/>
  <cols>
    <col min="4" max="4" width="15" bestFit="1" customWidth="1"/>
  </cols>
  <sheetData>
    <row r="1" spans="1:5" x14ac:dyDescent="0.35">
      <c r="A1" t="s">
        <v>10</v>
      </c>
      <c r="B1">
        <v>3000</v>
      </c>
      <c r="D1" t="s">
        <v>32</v>
      </c>
      <c r="E1" s="1">
        <v>1.47E-5</v>
      </c>
    </row>
    <row r="2" spans="1:5" x14ac:dyDescent="0.35">
      <c r="A2" t="s">
        <v>11</v>
      </c>
      <c r="B2">
        <v>4790</v>
      </c>
      <c r="D2" t="s">
        <v>33</v>
      </c>
      <c r="E2" s="1">
        <v>3.0000000000000001E-6</v>
      </c>
    </row>
    <row r="3" spans="1:5" x14ac:dyDescent="0.35">
      <c r="A3" t="s">
        <v>12</v>
      </c>
      <c r="B3">
        <v>46.244</v>
      </c>
      <c r="D3" t="s">
        <v>34</v>
      </c>
      <c r="E3" s="1">
        <v>2.9999999999999997E-4</v>
      </c>
    </row>
    <row r="4" spans="1:5" x14ac:dyDescent="0.35">
      <c r="A4" t="s">
        <v>13</v>
      </c>
      <c r="B4">
        <v>63.238</v>
      </c>
    </row>
    <row r="5" spans="1:5" x14ac:dyDescent="0.35">
      <c r="A5" t="s">
        <v>14</v>
      </c>
      <c r="B5">
        <v>6.4699999999999994E-2</v>
      </c>
    </row>
    <row r="6" spans="1:5" x14ac:dyDescent="0.35">
      <c r="A6" t="s">
        <v>15</v>
      </c>
      <c r="B6" s="1">
        <v>3.0000000000000001E-6</v>
      </c>
    </row>
    <row r="7" spans="1:5" x14ac:dyDescent="0.35">
      <c r="A7" t="s">
        <v>31</v>
      </c>
      <c r="B7">
        <v>4014.5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5C56B-68B5-4D69-96F2-EBC50190035B}">
  <sheetPr codeName="Sheet5"/>
  <dimension ref="A1:B7"/>
  <sheetViews>
    <sheetView tabSelected="1" workbookViewId="0">
      <selection activeCell="B7" sqref="B7"/>
    </sheetView>
  </sheetViews>
  <sheetFormatPr defaultRowHeight="14.5" x14ac:dyDescent="0.35"/>
  <sheetData>
    <row r="1" spans="1:2" x14ac:dyDescent="0.35">
      <c r="A1" t="s">
        <v>25</v>
      </c>
      <c r="B1">
        <v>0.12</v>
      </c>
    </row>
    <row r="2" spans="1:2" x14ac:dyDescent="0.35">
      <c r="A2" t="s">
        <v>24</v>
      </c>
      <c r="B2">
        <v>0</v>
      </c>
    </row>
    <row r="3" spans="1:2" x14ac:dyDescent="0.35">
      <c r="A3" t="s">
        <v>26</v>
      </c>
      <c r="B3">
        <f>1-B2-B1</f>
        <v>0.88</v>
      </c>
    </row>
    <row r="5" spans="1:2" x14ac:dyDescent="0.35">
      <c r="A5" t="s">
        <v>27</v>
      </c>
      <c r="B5">
        <f>B3</f>
        <v>0.88</v>
      </c>
    </row>
    <row r="6" spans="1:2" x14ac:dyDescent="0.35">
      <c r="A6" t="s">
        <v>28</v>
      </c>
      <c r="B6">
        <v>1</v>
      </c>
    </row>
    <row r="7" spans="1:2" x14ac:dyDescent="0.35">
      <c r="A7" t="s">
        <v>30</v>
      </c>
      <c r="B7">
        <f>REF!B2</f>
        <v>4790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52B0D-F997-4504-8297-68BDD5DCE9CF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64DE-D903-4C3C-B81F-990D79D75D2E}">
  <sheetPr codeName="Sheet7"/>
  <dimension ref="A1:B4"/>
  <sheetViews>
    <sheetView workbookViewId="0">
      <selection activeCell="A5" sqref="A5"/>
    </sheetView>
  </sheetViews>
  <sheetFormatPr defaultRowHeight="14.5" x14ac:dyDescent="0.35"/>
  <cols>
    <col min="1" max="1" width="12" bestFit="1" customWidth="1"/>
  </cols>
  <sheetData>
    <row r="1" spans="1:2" x14ac:dyDescent="0.35">
      <c r="A1" t="s">
        <v>35</v>
      </c>
      <c r="B1">
        <v>2</v>
      </c>
    </row>
    <row r="2" spans="1:2" x14ac:dyDescent="0.35">
      <c r="A2" t="s">
        <v>36</v>
      </c>
      <c r="B2">
        <v>1.2</v>
      </c>
    </row>
    <row r="4" spans="1:2" x14ac:dyDescent="0.35">
      <c r="A4" cm="1">
        <f t="array" ref="A4">zFactorHY(B1,B2)</f>
        <v>158344553394279.5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PVT</vt:lpstr>
      <vt:lpstr>ROCK</vt:lpstr>
      <vt:lpstr>REF</vt:lpstr>
      <vt:lpstr>INIT</vt:lpstr>
      <vt:lpstr>RESULT GRID</vt:lpstr>
      <vt:lpstr>RESULT 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Zuher Syihab, S.T, Ph.D.</dc:creator>
  <cp:lastModifiedBy>Zuher Syihab, S.T, Ph.D.</cp:lastModifiedBy>
  <dcterms:created xsi:type="dcterms:W3CDTF">2026-04-14T05:35:11Z</dcterms:created>
  <dcterms:modified xsi:type="dcterms:W3CDTF">2026-04-27T09:13:50Z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2026-04-14T06:09:06Z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f7768704-d5fa-4121-96bd-7bb00da0976b</vt:lpwstr>
  </property>
  <property fmtid="{D5CDD505-2E9C-101B-9397-08002B2CF9AE}" pid="8" name="MSIP_Label_38b525e5-f3da-4501-8f1e-526b6769fc56_ContentBits">
    <vt:lpwstr>0</vt:lpwstr>
  </property>
  <property fmtid="{D5CDD505-2E9C-101B-9397-08002B2CF9AE}" pid="9" name="MSIP_Label_38b525e5-f3da-4501-8f1e-526b6769fc56_Tag">
    <vt:lpwstr>10, 3, 0, 1</vt:lpwstr>
  </property>
</Properties>
</file>